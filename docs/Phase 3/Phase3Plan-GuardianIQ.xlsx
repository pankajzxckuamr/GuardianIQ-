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etailed Plan" sheetId="2" r:id="rId5"/>
    <sheet state="visible" name="Daily Sprint" sheetId="3" r:id="rId6"/>
    <sheet state="visible" name="RACI" sheetId="4" r:id="rId7"/>
    <sheet state="visible" name="Deliverables" sheetId="5" r:id="rId8"/>
    <sheet state="visible" name="Risks" sheetId="6" r:id="rId9"/>
    <sheet state="visible" name="Acceptance Checklist" sheetId="7" r:id="rId10"/>
    <sheet state="visible" name="Mapping Guide" sheetId="8" r:id="rId11"/>
    <sheet state="visible" name="Lists" sheetId="9" r:id="rId12"/>
  </sheets>
  <definedNames/>
  <calcPr/>
  <extLst>
    <ext uri="GoogleSheetsCustomDataVersion2">
      <go:sheetsCustomData xmlns:go="http://customooxmlschemas.google.com/" r:id="rId13" roundtripDataChecksum="VqzGH2pIlTsp9EtKSdHxAYoknUTfvP/YUIY79hf8u7k="/>
    </ext>
  </extLst>
</workbook>
</file>

<file path=xl/sharedStrings.xml><?xml version="1.0" encoding="utf-8"?>
<sst xmlns="http://schemas.openxmlformats.org/spreadsheetml/2006/main" count="1014" uniqueCount="534">
  <si>
    <t>GuardianIQ - 1 Week Implementation Plan</t>
  </si>
  <si>
    <t>Scope</t>
  </si>
  <si>
    <t>Concrete engineering deliverables required after Volume 1: PostgreSQL physical schema, API spec, mapping guide, React architecture, module build order, QA readiness</t>
  </si>
  <si>
    <t>Plan Window</t>
  </si>
  <si>
    <t>08-Jul-2026 to 14-Jul-2026</t>
  </si>
  <si>
    <t>Team</t>
  </si>
  <si>
    <t>Poorvith, Aayush, Pankaj, Project Manager</t>
  </si>
  <si>
    <t>Reference</t>
  </si>
  <si>
    <t>Phase 3 / Volume 1 relationship architecture</t>
  </si>
  <si>
    <t>Target</t>
  </si>
  <si>
    <t>End-to-end developer readiness</t>
  </si>
  <si>
    <t>KPI</t>
  </si>
  <si>
    <t>Formula / Value</t>
  </si>
  <si>
    <t>Owner</t>
  </si>
  <si>
    <t>Status</t>
  </si>
  <si>
    <t>Notes</t>
  </si>
  <si>
    <t>Total Activities</t>
  </si>
  <si>
    <t>40+</t>
  </si>
  <si>
    <t>PM</t>
  </si>
  <si>
    <t>Tracked</t>
  </si>
  <si>
    <t>Includes DB, API, UI, mapping, QA and handover</t>
  </si>
  <si>
    <t>Critical Path Items</t>
  </si>
  <si>
    <t>All assigned</t>
  </si>
  <si>
    <t>Critical deliverables must finish by Day 5/6</t>
  </si>
  <si>
    <t>Completed Items</t>
  </si>
  <si>
    <t>100%</t>
  </si>
  <si>
    <t>All</t>
  </si>
  <si>
    <t>Open</t>
  </si>
  <si>
    <t>Update daily</t>
  </si>
  <si>
    <t>Blocked Items</t>
  </si>
  <si>
    <t>0</t>
  </si>
  <si>
    <t>Review every evening</t>
  </si>
  <si>
    <t>Final Handover Pack</t>
  </si>
  <si>
    <t>Volume 3 + Volume 4 + Volume 5 + Mapping + QA Pack</t>
  </si>
  <si>
    <t>Ready by 14-Jul</t>
  </si>
  <si>
    <t>Planned</t>
  </si>
  <si>
    <t>Formal handover to developers</t>
  </si>
  <si>
    <t>WBS</t>
  </si>
  <si>
    <t>Workstream</t>
  </si>
  <si>
    <t>Activity</t>
  </si>
  <si>
    <t>Detailed Task Description</t>
  </si>
  <si>
    <t>Deliverable</t>
  </si>
  <si>
    <t>Support</t>
  </si>
  <si>
    <t>Priority</t>
  </si>
  <si>
    <t>Start Date</t>
  </si>
  <si>
    <t>End Date</t>
  </si>
  <si>
    <t>Dependencies</t>
  </si>
  <si>
    <t>Acceptance Criteria</t>
  </si>
  <si>
    <t>1.1</t>
  </si>
  <si>
    <t>Project Management</t>
  </si>
  <si>
    <t>Kickoff and scope lock</t>
  </si>
  <si>
    <t>Align the team on what is required after Volume 1: DB schema, API spec, screen/API/DB mapping, React architecture, build order and QA pack.</t>
  </si>
  <si>
    <t>Signed kickoff notes and sprint scope</t>
  </si>
  <si>
    <t>Project Manager</t>
  </si>
  <si>
    <t>Critical</t>
  </si>
  <si>
    <t>Not Started</t>
  </si>
  <si>
    <t>08-Jul-2026</t>
  </si>
  <si>
    <t>Volume 1 available</t>
  </si>
  <si>
    <t>Scope confirmed; no ambiguity on sprint outcome</t>
  </si>
  <si>
    <t>Start with 60-minute walkthrough</t>
  </si>
  <si>
    <t>1.2</t>
  </si>
  <si>
    <t>Create sprint control board</t>
  </si>
  <si>
    <t>Create single tracker for task status, owner, blockers, dependency, daily progress and final sign-off.</t>
  </si>
  <si>
    <t>Sprint control board</t>
  </si>
  <si>
    <t>High</t>
  </si>
  <si>
    <t>Kickoff</t>
  </si>
  <si>
    <t>Tracker shared with all owners</t>
  </si>
  <si>
    <t>Use this workbook as base</t>
  </si>
  <si>
    <t>1.3</t>
  </si>
  <si>
    <t>Database</t>
  </si>
  <si>
    <t>Review current Phase 0-2 DB assets</t>
  </si>
  <si>
    <t>Review existing core, registry, workflow, audit schemas to avoid duplicate entities and ensure Phase 3 relationship layer builds on top.</t>
  </si>
  <si>
    <t>DB gap assessment</t>
  </si>
  <si>
    <t>Aayush</t>
  </si>
  <si>
    <t>Pankaj</t>
  </si>
  <si>
    <t>DB access</t>
  </si>
  <si>
    <t>Current schema understood and gap list prepared</t>
  </si>
  <si>
    <t>1.4</t>
  </si>
  <si>
    <t>Define Phase 3 physical schema</t>
  </si>
  <si>
    <t>Finalize physical tables required now: generic_relationships, object_responsibilities, relationship_validation_results, graph_snapshots, policy_bindings stub/bridge, evidence_links stub/bridge.</t>
  </si>
  <si>
    <t>Schema design draft</t>
  </si>
  <si>
    <t>09-Jul-2026</t>
  </si>
  <si>
    <t>Tables, columns, keys, statuses and ownership fields defined</t>
  </si>
  <si>
    <t>1.5</t>
  </si>
  <si>
    <t>Backend</t>
  </si>
  <si>
    <t>Define service modules</t>
  </si>
  <si>
    <t>Confirm backend modules: relationship, responsibility, graph, validation, authorization bridge, audit integration, cache.</t>
  </si>
  <si>
    <t>Backend module blueprint</t>
  </si>
  <si>
    <t>Volume 1</t>
  </si>
  <si>
    <t>Module boundaries clear and implementation files listed</t>
  </si>
  <si>
    <t>1.6</t>
  </si>
  <si>
    <t>Frontend</t>
  </si>
  <si>
    <t>Define React route/module structure</t>
  </si>
  <si>
    <t>Define frontend module structure for Relationship Explorer, object relationship panels, graph view, create relationship wizard, timeline and impact view.</t>
  </si>
  <si>
    <t>React module structure</t>
  </si>
  <si>
    <t>Poorvith</t>
  </si>
  <si>
    <t>Volume 2A</t>
  </si>
  <si>
    <t>Routes, components and layout approach approved</t>
  </si>
  <si>
    <t>2.1</t>
  </si>
  <si>
    <t>Write DDL migrations</t>
  </si>
  <si>
    <t>Create database migration scripts for Phase 3 relationship tables with PKs, FKs where possible, tenant_id, status, effective dates, JSONB, indexes and audit-friendly columns.</t>
  </si>
  <si>
    <t>DDL migration script</t>
  </si>
  <si>
    <t>10-Jul-2026</t>
  </si>
  <si>
    <t>Script runs successfully on dev DB</t>
  </si>
  <si>
    <t>2.2</t>
  </si>
  <si>
    <t>Create indexes and constraints</t>
  </si>
  <si>
    <t>Add composite indexes for tenant/source/target/type/status, reverse lookup, lifecycle and time-aware relationship resolution.</t>
  </si>
  <si>
    <t>Index and constraint script</t>
  </si>
  <si>
    <t>DDL migrations</t>
  </si>
  <si>
    <t>Relationship lookups and graph queries supported</t>
  </si>
  <si>
    <t>2.3</t>
  </si>
  <si>
    <t>Create seed/reference data</t>
  </si>
  <si>
    <t>Seed relationship types, lifecycle states, responsibility types, validation rule categories and sample reference data.</t>
  </si>
  <si>
    <t>Seed script</t>
  </si>
  <si>
    <t>Reference data visible and reusable by APIs/UI</t>
  </si>
  <si>
    <t>2.4</t>
  </si>
  <si>
    <t>Implement ORM models</t>
  </si>
  <si>
    <t>Create SQLAlchemy models/Pydantic schemas for relationship tables and reference data.</t>
  </si>
  <si>
    <t>ORM and schema models</t>
  </si>
  <si>
    <t>Models compile and match DB columns</t>
  </si>
  <si>
    <t>2.5</t>
  </si>
  <si>
    <t>Implement repositories</t>
  </si>
  <si>
    <t>Create repository functions for create, update, find active, reverse lookup, scoped lookup, lifecycle lookup and audit timeline references.</t>
  </si>
  <si>
    <t>Repository layer</t>
  </si>
  <si>
    <t>ORM models</t>
  </si>
  <si>
    <t>Repository unit tests pass</t>
  </si>
  <si>
    <t>2.6</t>
  </si>
  <si>
    <t>Prepare shell screens</t>
  </si>
  <si>
    <t>Create shell pages for Relationship Explorer, Create Relationship Wizard, Object Relationship Panel and Graph View.</t>
  </si>
  <si>
    <t>Frontend shell screens</t>
  </si>
  <si>
    <t>React structure</t>
  </si>
  <si>
    <t>Screens load with placeholder data and routing</t>
  </si>
  <si>
    <t>3.1</t>
  </si>
  <si>
    <t>Relationship service CRUD</t>
  </si>
  <si>
    <t>Implement create/update/list/detail/revoke/suspend/expire relationship service with transaction handling.</t>
  </si>
  <si>
    <t>RelationshipService</t>
  </si>
  <si>
    <t>11-Jul-2026</t>
  </si>
  <si>
    <t>CRUD APIs functional and audited</t>
  </si>
  <si>
    <t>3.2</t>
  </si>
  <si>
    <t>Responsibility service</t>
  </si>
  <si>
    <t>Implement owner/reviewer/approver/auditor assignment and active owner resolution.</t>
  </si>
  <si>
    <t>ResponsibilityService</t>
  </si>
  <si>
    <t>Relationship service</t>
  </si>
  <si>
    <t>Owners and approvers can be resolved</t>
  </si>
  <si>
    <t>3.3</t>
  </si>
  <si>
    <t>Validation engine MVP</t>
  </si>
  <si>
    <t>Implement mandatory validation rules: source exists, target exists, tenant match, duplicate active relationship, effective dates, status transition, owner required.</t>
  </si>
  <si>
    <t>ValidationEngine MVP</t>
  </si>
  <si>
    <t>Repositories</t>
  </si>
  <si>
    <t>Invalid relationships are blocked with clear messages</t>
  </si>
  <si>
    <t>3.4</t>
  </si>
  <si>
    <t>Audit event integration</t>
  </si>
  <si>
    <t>Every create/update/revoke/suspend/validation failure should publish audit events.</t>
  </si>
  <si>
    <t>Audit integration</t>
  </si>
  <si>
    <t>Audit events created for all state changes</t>
  </si>
  <si>
    <t>3.5</t>
  </si>
  <si>
    <t>Build Relationship Explorer list/table</t>
  </si>
  <si>
    <t>Create searchable/filterable table of relationships with object type, source, target, lifecycle, scope, owner and actions.</t>
  </si>
  <si>
    <t>Relationship Explorer UI</t>
  </si>
  <si>
    <t>12-Jul-2026</t>
  </si>
  <si>
    <t>Shell screens</t>
  </si>
  <si>
    <t>Table renders API data and supports filters</t>
  </si>
  <si>
    <t>3.6</t>
  </si>
  <si>
    <t>Build Create Relationship Wizard</t>
  </si>
  <si>
    <t>Wizard to select source, relationship type, target, scope, responsibility, effective dates, metadata and review/submit.</t>
  </si>
  <si>
    <t>Create Relationship Wizard</t>
  </si>
  <si>
    <t>Wizard validates and submits to API</t>
  </si>
  <si>
    <t>4.1</t>
  </si>
  <si>
    <t>Graph/resolver APIs</t>
  </si>
  <si>
    <t>Implement governance context and graph APIs: direct relationships, reverse relationships, owners, policies, evidence, audit timeline, depth-limited graph.</t>
  </si>
  <si>
    <t>Resolver and Graph APIs</t>
  </si>
  <si>
    <t>Relationship CRUD</t>
  </si>
  <si>
    <t>Graph APIs return nodes/edges and enforce depth limits</t>
  </si>
  <si>
    <t>4.2</t>
  </si>
  <si>
    <t>Authorization bridge</t>
  </si>
  <si>
    <t>Ensure write APIs call authorization checks and graph APIs hide unauthorized objects based on tenant, role, sensitivity and relationship scope.</t>
  </si>
  <si>
    <t>Authorization checks</t>
  </si>
  <si>
    <t>Core RBAC/ABAC foundation</t>
  </si>
  <si>
    <t>Unauthorized operations are blocked</t>
  </si>
  <si>
    <t>4.3</t>
  </si>
  <si>
    <t>OpenAPI contract draft</t>
  </si>
  <si>
    <t>Document all relationship/responsibility/graph/validation APIs with request, response, errors, permissions and audit events.</t>
  </si>
  <si>
    <t>Backend API specification</t>
  </si>
  <si>
    <t>APIs implemented</t>
  </si>
  <si>
    <t>API spec reviewed by frontend and QA</t>
  </si>
  <si>
    <t>4.4</t>
  </si>
  <si>
    <t>Object relationship panel</t>
  </si>
  <si>
    <t>Create reusable panel to embed on AI Model, AI Agent, Workflow and Tool detail pages showing direct relationships and governance context.</t>
  </si>
  <si>
    <t>Object Relationship Panel</t>
  </si>
  <si>
    <t>Relationship APIs</t>
  </si>
  <si>
    <t>Panel works with object_type/object_id props</t>
  </si>
  <si>
    <t>4.5</t>
  </si>
  <si>
    <t>Graph View MVP</t>
  </si>
  <si>
    <t>Create simple node-edge graph/list hybrid view for selected object with relationship labels, status and risk indicator.</t>
  </si>
  <si>
    <t>13-Jul-2026</t>
  </si>
  <si>
    <t>Graph APIs</t>
  </si>
  <si>
    <t>Graph view shows connected objects and depth control</t>
  </si>
  <si>
    <t>5.1</t>
  </si>
  <si>
    <t>Mapping</t>
  </si>
  <si>
    <t>Create screen/API/DB mapping matrix</t>
  </si>
  <si>
    <t>Map each screen and component to API, service, repository, table, audit event and test scenario.</t>
  </si>
  <si>
    <t>Mapping matrix</t>
  </si>
  <si>
    <t>Poorvith, Pankaj</t>
  </si>
  <si>
    <t>API spec and DB schema</t>
  </si>
  <si>
    <t>Matrix covers all Phase 3 screens and APIs</t>
  </si>
  <si>
    <t>5.2</t>
  </si>
  <si>
    <t>Relationship timeline UI</t>
  </si>
  <si>
    <t>Create timeline drawer/page to show lifecycle events, before/after change and actor/reason for relationship.</t>
  </si>
  <si>
    <t>Timeline UI</t>
  </si>
  <si>
    <t>Medium</t>
  </si>
  <si>
    <t>Audit API</t>
  </si>
  <si>
    <t>Timeline renders audit events</t>
  </si>
  <si>
    <t>5.3</t>
  </si>
  <si>
    <t>Performance and cache baseline</t>
  </si>
  <si>
    <t>Add basic caching for stable ownership/policy/permission relationships and query limits for graph traversal.</t>
  </si>
  <si>
    <t>Cache/performance baseline</t>
  </si>
  <si>
    <t>No uncontrolled graph query; cache invalidates on update</t>
  </si>
  <si>
    <t>5.4</t>
  </si>
  <si>
    <t>QA</t>
  </si>
  <si>
    <t>Prepare QA test cases</t>
  </si>
  <si>
    <t>Convert Volume 1 validation and scenario playbook into executable API/UI/DB test cases.</t>
  </si>
  <si>
    <t>QA test pack</t>
  </si>
  <si>
    <t>Test cases mapped to requirements</t>
  </si>
  <si>
    <t>5.5</t>
  </si>
  <si>
    <t>Mid-sprint review</t>
  </si>
  <si>
    <t>Review completed DB/API/UI/mapping status; remove blockers and decide scope adjustments.</t>
  </si>
  <si>
    <t>Mid-sprint decision log</t>
  </si>
  <si>
    <t>Tasks in progress</t>
  </si>
  <si>
    <t>Critical path still achievable</t>
  </si>
  <si>
    <t>6.1</t>
  </si>
  <si>
    <t>Integration</t>
  </si>
  <si>
    <t>End-to-end relationship creation flow</t>
  </si>
  <si>
    <t>Test complete flow: create relationship from UI → API → DB → validation → audit → explorer refresh.</t>
  </si>
  <si>
    <t>Integrated E2E flow</t>
  </si>
  <si>
    <t>UI + APIs ready</t>
  </si>
  <si>
    <t>E2E create flow passes</t>
  </si>
  <si>
    <t>6.2</t>
  </si>
  <si>
    <t>End-to-end graph/context flow</t>
  </si>
  <si>
    <t>Test selected AI Agent/Workflow → relationship panel → governance context → graph view → audit timeline.</t>
  </si>
  <si>
    <t>Integrated graph/context flow</t>
  </si>
  <si>
    <t>Aayush, Pankaj</t>
  </si>
  <si>
    <t>Graph UI/API ready</t>
  </si>
  <si>
    <t>Graph/context flow passes</t>
  </si>
  <si>
    <t>6.3</t>
  </si>
  <si>
    <t>Execute API and DB validation tests</t>
  </si>
  <si>
    <t>Run API tests, DB checks, negative validation cases, duplicate/cross-tenant/expired relationship checks.</t>
  </si>
  <si>
    <t>API/DB QA results</t>
  </si>
  <si>
    <t>QA pack</t>
  </si>
  <si>
    <t>Critical API and DB tests pass</t>
  </si>
  <si>
    <t>6.4</t>
  </si>
  <si>
    <t>Execute UI functional tests</t>
  </si>
  <si>
    <t>Validate explorer, wizard, panels, graph view, timeline, error handling, empty/loading states.</t>
  </si>
  <si>
    <t>UI QA results</t>
  </si>
  <si>
    <t>UI integrated</t>
  </si>
  <si>
    <t>Critical UI tests pass</t>
  </si>
  <si>
    <t>6.5</t>
  </si>
  <si>
    <t>Documentation</t>
  </si>
  <si>
    <t>Prepare developer handover pack</t>
  </si>
  <si>
    <t>Prepare compact handover: DB script location, API spec, UI routes, mapping matrix, test evidence and known limitations.</t>
  </si>
  <si>
    <t>Developer handover pack</t>
  </si>
  <si>
    <t>14-Jul-2026</t>
  </si>
  <si>
    <t>Integration results</t>
  </si>
  <si>
    <t>Handover pack ready for team</t>
  </si>
  <si>
    <t>7.1</t>
  </si>
  <si>
    <t>Regression and bug fixing</t>
  </si>
  <si>
    <t>Close critical and high defects; retest failed scenarios.</t>
  </si>
  <si>
    <t>Defect closure report</t>
  </si>
  <si>
    <t>Aayush, Poorvith</t>
  </si>
  <si>
    <t>QA results</t>
  </si>
  <si>
    <t>No open critical defects</t>
  </si>
  <si>
    <t>7.2</t>
  </si>
  <si>
    <t>Final UAT walkthrough</t>
  </si>
  <si>
    <t>Walk through DB schema, APIs, UI flows, mapping matrix and QA evidence with PM and team.</t>
  </si>
  <si>
    <t>UAT walkthrough notes</t>
  </si>
  <si>
    <t>Handover pack</t>
  </si>
  <si>
    <t>Stakeholder sign-off captured</t>
  </si>
  <si>
    <t>7.3</t>
  </si>
  <si>
    <t>Finalize acceptance checklist</t>
  </si>
  <si>
    <t>Confirm Definition of Done for DB, backend, frontend, integration, audit, security and QA.</t>
  </si>
  <si>
    <t>Final acceptance checklist</t>
  </si>
  <si>
    <t>UAT walkthrough</t>
  </si>
  <si>
    <t>Checklist completed and signed</t>
  </si>
  <si>
    <t>7.4</t>
  </si>
  <si>
    <t>Delivery</t>
  </si>
  <si>
    <t>Release candidate package</t>
  </si>
  <si>
    <t>Package code branches, scripts, API docs, UI build, test evidence and open issue list.</t>
  </si>
  <si>
    <t>Phase 3 release candidate</t>
  </si>
  <si>
    <t>Defects closed</t>
  </si>
  <si>
    <t>Release candidate ready</t>
  </si>
  <si>
    <t>7.5</t>
  </si>
  <si>
    <t>Next sprint backlog</t>
  </si>
  <si>
    <t>Create backlog for next phase: advanced policy engine, evidence depth, graph analytics, full UI refinements and performance hardening.</t>
  </si>
  <si>
    <t>Final sign-off</t>
  </si>
  <si>
    <t>Backlog ready and prioritized</t>
  </si>
  <si>
    <t>Day</t>
  </si>
  <si>
    <t>Date</t>
  </si>
  <si>
    <t>Focus</t>
  </si>
  <si>
    <t>Key Activities</t>
  </si>
  <si>
    <t>Primary Owners</t>
  </si>
  <si>
    <t>Expected End-of-Day Output</t>
  </si>
  <si>
    <t>PM Checkpoint</t>
  </si>
  <si>
    <t>Day 1</t>
  </si>
  <si>
    <t>Alignment + Architecture Lock</t>
  </si>
  <si>
    <t>Kickoff; schema gap review; backend module boundaries; React routes; sprint tracker</t>
  </si>
  <si>
    <t>PM, Aayush, Pankaj, Poorvith</t>
  </si>
  <si>
    <t>Scope locked, DB/API/UI approach agreed</t>
  </si>
  <si>
    <t>Evening: confirm no open scope ambiguity</t>
  </si>
  <si>
    <t>Day 2</t>
  </si>
  <si>
    <t>DB + Backend Foundation</t>
  </si>
  <si>
    <t>DDL migrations; indexes; seed data; ORM models; repositories; frontend shell</t>
  </si>
  <si>
    <t>Aayush, Pankaj, Poorvith</t>
  </si>
  <si>
    <t>DB and repository foundation ready</t>
  </si>
  <si>
    <t>Review DB script execution</t>
  </si>
  <si>
    <t>Day 3</t>
  </si>
  <si>
    <t>Core Services + UI Start</t>
  </si>
  <si>
    <t>Relationship CRUD; responsibility service; validation MVP; audit events; explorer and wizard UI</t>
  </si>
  <si>
    <t>Pankaj, Poorvith</t>
  </si>
  <si>
    <t>Core services and core screens in progress</t>
  </si>
  <si>
    <t>Check API/UI integration blockers</t>
  </si>
  <si>
    <t>Day 4</t>
  </si>
  <si>
    <t>Graph + Authorization + API Contract</t>
  </si>
  <si>
    <t>Graph/resolver APIs; authorization checks; OpenAPI draft; relationship panels; graph MVP</t>
  </si>
  <si>
    <t>Pankaj, Aayush, Poorvith</t>
  </si>
  <si>
    <t>Graph/context capabilities usable</t>
  </si>
  <si>
    <t>Review API spec with frontend</t>
  </si>
  <si>
    <t>Day 5</t>
  </si>
  <si>
    <t>Mapping + QA Prep + Timeline</t>
  </si>
  <si>
    <t>Screen/API/DB mapping; timeline UI; cache baseline; QA pack; mid-sprint review</t>
  </si>
  <si>
    <t>Aayush, Pankaj, Poorvith, PM</t>
  </si>
  <si>
    <t>Mapping matrix and QA test pack ready</t>
  </si>
  <si>
    <t>Scope adjustment if required</t>
  </si>
  <si>
    <t>Day 6</t>
  </si>
  <si>
    <t>Integration + Testing</t>
  </si>
  <si>
    <t>E2E create flow; graph/context flow; API/DB tests; UI tests; handover pack</t>
  </si>
  <si>
    <t>Integrated working build</t>
  </si>
  <si>
    <t>Confirm critical defects only</t>
  </si>
  <si>
    <t>Day 7</t>
  </si>
  <si>
    <t>Stabilization + Handover</t>
  </si>
  <si>
    <t>Regression; UAT walkthrough; final acceptance; release candidate; next backlog</t>
  </si>
  <si>
    <t>Phase 3 implementation package ready</t>
  </si>
  <si>
    <t>Deliverable / Activity</t>
  </si>
  <si>
    <t>Sprint scope and control</t>
  </si>
  <si>
    <t>A</t>
  </si>
  <si>
    <t>C</t>
  </si>
  <si>
    <t>PM owns delivery governance</t>
  </si>
  <si>
    <t>Physical PostgreSQL schema</t>
  </si>
  <si>
    <t>I</t>
  </si>
  <si>
    <t>A/R</t>
  </si>
  <si>
    <t>Aayush owns DB foundation</t>
  </si>
  <si>
    <t>DDL migrations and seed data</t>
  </si>
  <si>
    <t>Must run cleanly</t>
  </si>
  <si>
    <t>Backend repositories and models</t>
  </si>
  <si>
    <t>Pankaj owns backend engineering quality</t>
  </si>
  <si>
    <t>Relationship service APIs</t>
  </si>
  <si>
    <t>Audit and validation mandatory</t>
  </si>
  <si>
    <t>OpenAPI/API spec</t>
  </si>
  <si>
    <t>Aayush coordinates with frontend</t>
  </si>
  <si>
    <t>React route/module structure</t>
  </si>
  <si>
    <t>Poorvith owns frontend architecture</t>
  </si>
  <si>
    <t>Must bind to API</t>
  </si>
  <si>
    <t>Must include validation</t>
  </si>
  <si>
    <t>Start simple</t>
  </si>
  <si>
    <t>Screen/API/DB mapping matrix</t>
  </si>
  <si>
    <t>R</t>
  </si>
  <si>
    <t>Used by all developers</t>
  </si>
  <si>
    <t>Pankaj owns testing evidence</t>
  </si>
  <si>
    <t>UAT walkthrough and sign-off</t>
  </si>
  <si>
    <t>Final delivery gate</t>
  </si>
  <si>
    <t>ID</t>
  </si>
  <si>
    <t>Description</t>
  </si>
  <si>
    <t>Due Date</t>
  </si>
  <si>
    <t>D1</t>
  </si>
  <si>
    <t>Sprint Scope &amp; Control Board</t>
  </si>
  <si>
    <t>Approved 1-week sprint plan with owners, statuses, dependencies and daily checkpoints.</t>
  </si>
  <si>
    <t>Scope agreed and tracker shared</t>
  </si>
  <si>
    <t>D2</t>
  </si>
  <si>
    <t>PostgreSQL Physical Schema</t>
  </si>
  <si>
    <t>Tables, indexes, constraints, seed data and migration scripts for relationship layer.</t>
  </si>
  <si>
    <t>Script runs cleanly; tables validated</t>
  </si>
  <si>
    <t>D3</t>
  </si>
  <si>
    <t>Backend API Specification</t>
  </si>
  <si>
    <t>OpenAPI-style API contract for relationships, responsibilities, graph, validation and resolver APIs.</t>
  </si>
  <si>
    <t>Frontend and QA can use without clarification</t>
  </si>
  <si>
    <t>D4</t>
  </si>
  <si>
    <t>Backend Services MVP</t>
  </si>
  <si>
    <t>RelationshipService, ResponsibilityService, ValidationEngine, Graph/Resolver APIs and Audit integration.</t>
  </si>
  <si>
    <t>Core services pass API tests</t>
  </si>
  <si>
    <t>D5</t>
  </si>
  <si>
    <t>Frontend Core Screens MVP</t>
  </si>
  <si>
    <t>Relationship Explorer, Create Relationship Wizard, Object Relationship Panel, Graph View and Timeline.</t>
  </si>
  <si>
    <t>Screens integrated with APIs</t>
  </si>
  <si>
    <t>D6</t>
  </si>
  <si>
    <t>Screen/API/DB Mapping Matrix</t>
  </si>
  <si>
    <t>Requirement → screen → API → service → repository → table → audit event → test case mapping.</t>
  </si>
  <si>
    <t>Mapping complete for all Phase 3 flows</t>
  </si>
  <si>
    <t>D7</t>
  </si>
  <si>
    <t>QA Test Pack &amp; Results</t>
  </si>
  <si>
    <t>API, DB, UI, security, graph and negative test cases with evidence placeholders/results.</t>
  </si>
  <si>
    <t>Critical tests pass; defects logged</t>
  </si>
  <si>
    <t>D8</t>
  </si>
  <si>
    <t>Developer Handover Pack</t>
  </si>
  <si>
    <t>Final package with scripts, API docs, UI routes, test evidence and open issue list.</t>
  </si>
  <si>
    <t>Team can continue implementation without open dependency</t>
  </si>
  <si>
    <t>Risk ID</t>
  </si>
  <si>
    <t>Risk / Issue</t>
  </si>
  <si>
    <t>Impact</t>
  </si>
  <si>
    <t>Probability</t>
  </si>
  <si>
    <t>Severity</t>
  </si>
  <si>
    <t>Mitigation</t>
  </si>
  <si>
    <t>Trigger / Early Warning</t>
  </si>
  <si>
    <t>R1</t>
  </si>
  <si>
    <t>DB schema mismatch with Phase 0-2 tables</t>
  </si>
  <si>
    <t>Rework and API delays</t>
  </si>
  <si>
    <t>Review existing schemas before creating new tables</t>
  </si>
  <si>
    <t>Duplicate entities or FK confusion</t>
  </si>
  <si>
    <t>R2</t>
  </si>
  <si>
    <t>Relationship service over-engineering</t>
  </si>
  <si>
    <t>Missed 1-week timeline</t>
  </si>
  <si>
    <t>Build MVP first: CRUD, validation, resolver, audit</t>
  </si>
  <si>
    <t>Complex graph logic delays core APIs</t>
  </si>
  <si>
    <t>R3</t>
  </si>
  <si>
    <t>Frontend waiting for API completion</t>
  </si>
  <si>
    <t>Poorvith blocked</t>
  </si>
  <si>
    <t>Provide mock API contract by Day 2/3</t>
  </si>
  <si>
    <t>UI screens have placeholders only</t>
  </si>
  <si>
    <t>R4</t>
  </si>
  <si>
    <t>Validation rules too broad for first sprint</t>
  </si>
  <si>
    <t>Testing delays</t>
  </si>
  <si>
    <t>Implement mandatory rules only in week 1</t>
  </si>
  <si>
    <t>Too many edge cases added mid-sprint</t>
  </si>
  <si>
    <t>R5</t>
  </si>
  <si>
    <t>Audit event integration missed</t>
  </si>
  <si>
    <t>Governance traceability gap</t>
  </si>
  <si>
    <t>Low</t>
  </si>
  <si>
    <t>Audit event mandatory in Definition of Done</t>
  </si>
  <si>
    <t>CRUD works but no audit events</t>
  </si>
  <si>
    <t>R6</t>
  </si>
  <si>
    <t>Graph view complexity</t>
  </si>
  <si>
    <t>UI delays</t>
  </si>
  <si>
    <t>Implement simple node-edge/list hybrid MVP</t>
  </si>
  <si>
    <t>Canvas graph consumes time</t>
  </si>
  <si>
    <t>R7</t>
  </si>
  <si>
    <t>No single mapping source</t>
  </si>
  <si>
    <t>Team confusion</t>
  </si>
  <si>
    <t>Mapping matrix mandatory by Day 5</t>
  </si>
  <si>
    <t>Repeated clarification questions</t>
  </si>
  <si>
    <t>R8</t>
  </si>
  <si>
    <t>Scope creep into full policy engine</t>
  </si>
  <si>
    <t>Timeline impact</t>
  </si>
  <si>
    <t>Restrict policy to bindings/stubs; full policy engine later</t>
  </si>
  <si>
    <t>New policy requirements appear</t>
  </si>
  <si>
    <t>Area</t>
  </si>
  <si>
    <t>Checklist Item</t>
  </si>
  <si>
    <t>Required for Sign-off</t>
  </si>
  <si>
    <t>Evidence / Notes</t>
  </si>
  <si>
    <t>All Phase 3 tables created with tenant_id, status, effective dates and audit-friendly columns</t>
  </si>
  <si>
    <t>Yes</t>
  </si>
  <si>
    <t>Composite indexes support source/target lookup and graph traversal</t>
  </si>
  <si>
    <t>Seed data for relationship types, lifecycle states and responsibility types available</t>
  </si>
  <si>
    <t>Relationship CRUD APIs implemented and documented</t>
  </si>
  <si>
    <t>Validation engine blocks invalid/duplicate/cross-tenant/expired relationships</t>
  </si>
  <si>
    <t>Audit event generated for create/update/revoke/suspend/validation failure</t>
  </si>
  <si>
    <t>Graph and governance context APIs return scoped data with depth limits</t>
  </si>
  <si>
    <t>Relationship Explorer supports search, filter, list and detail actions</t>
  </si>
  <si>
    <t>Create Relationship Wizard validates and submits relationship payloads</t>
  </si>
  <si>
    <t>Object Relationship Panel reusable for AI Model, Agent, Workflow and Tool pages</t>
  </si>
  <si>
    <t>Graph View MVP displays nodes, edges, lifecycle and depth control</t>
  </si>
  <si>
    <t>Screen/API/DB/Audit/Test mapping matrix complete</t>
  </si>
  <si>
    <t>Critical API, DB, UI and negative tests executed</t>
  </si>
  <si>
    <t>Project</t>
  </si>
  <si>
    <t>Final UAT walkthrough completed and signed off</t>
  </si>
  <si>
    <t>Requirement / Flow</t>
  </si>
  <si>
    <t>Screen / Component</t>
  </si>
  <si>
    <t>API</t>
  </si>
  <si>
    <t>Backend Service</t>
  </si>
  <si>
    <t>Repository / DB Object</t>
  </si>
  <si>
    <t>Audit Event</t>
  </si>
  <si>
    <t>Test Case Owner</t>
  </si>
  <si>
    <t>Create relationship</t>
  </si>
  <si>
    <t>POST /api/v1/relationships</t>
  </si>
  <si>
    <t>RelationshipService.create_relationship</t>
  </si>
  <si>
    <t>generic_relationships</t>
  </si>
  <si>
    <t>RELATIONSHIP_CREATED</t>
  </si>
  <si>
    <t>List relationships</t>
  </si>
  <si>
    <t>Relationship Explorer</t>
  </si>
  <si>
    <t>GET /api/v1/relationships</t>
  </si>
  <si>
    <t>RelationshipService.search_relationships</t>
  </si>
  <si>
    <t>GRAPH_TRAVERSAL_PERFORMED if graph</t>
  </si>
  <si>
    <t>Revoke relationship</t>
  </si>
  <si>
    <t>Relationship Detail Action</t>
  </si>
  <si>
    <t>POST /api/v1/relationships/{id}/revoke</t>
  </si>
  <si>
    <t>RelationshipService.revoke_relationship</t>
  </si>
  <si>
    <t>RELATIONSHIP_REVOKED</t>
  </si>
  <si>
    <t>Assign owner</t>
  </si>
  <si>
    <t>Responsibility Panel</t>
  </si>
  <si>
    <t>POST /api/v1/responsibilities</t>
  </si>
  <si>
    <t>ResponsibilityService.assign_owner</t>
  </si>
  <si>
    <t>object_responsibilities</t>
  </si>
  <si>
    <t>RESPONSIBILITY_ASSIGNED</t>
  </si>
  <si>
    <t>Resolve governance context</t>
  </si>
  <si>
    <t>GET /api/v1/objects/{type}/{id}/governance-context</t>
  </si>
  <si>
    <t>RelationshipResolverService.resolve_governance_context</t>
  </si>
  <si>
    <t>generic_relationships + audit_events</t>
  </si>
  <si>
    <t>GOVERNANCE_CONTEXT_BUILT</t>
  </si>
  <si>
    <t>Graph traversal</t>
  </si>
  <si>
    <t>Graph View</t>
  </si>
  <si>
    <t>GET /api/v1/graph/{type}/{id}</t>
  </si>
  <si>
    <t>GraphService.build_graph</t>
  </si>
  <si>
    <t>generic_relationships + graph_snapshots</t>
  </si>
  <si>
    <t>GRAPH_TRAVERSAL_PERFORMED</t>
  </si>
  <si>
    <t>Validate relationship</t>
  </si>
  <si>
    <t>Wizard Review Step</t>
  </si>
  <si>
    <t>POST /api/v1/relationships/validate</t>
  </si>
  <si>
    <t>ValidationEngine.validate_payload</t>
  </si>
  <si>
    <t>relationship_validation_results</t>
  </si>
  <si>
    <t>RELATIONSHIP_VALIDATION_FAILED</t>
  </si>
  <si>
    <t>View timeline</t>
  </si>
  <si>
    <t>Relationship Timeline</t>
  </si>
  <si>
    <t>GET /api/v1/objects/{type}/{id}/audit-trail</t>
  </si>
  <si>
    <t>RelationshipAuditService.get_timeline</t>
  </si>
  <si>
    <t>audit_events/entity_change_log</t>
  </si>
  <si>
    <t>AUDIT_TIMELINE_VIEWED</t>
  </si>
  <si>
    <t>Impact analysis</t>
  </si>
  <si>
    <t>Impact View</t>
  </si>
  <si>
    <t>POST /api/v1/graph/impact-analysis</t>
  </si>
  <si>
    <t>GraphService.impact_analysis</t>
  </si>
  <si>
    <t>relationship_graph_snapshots</t>
  </si>
  <si>
    <t>IMPACT_ANALYSIS_PERFORMED</t>
  </si>
  <si>
    <t>RACI Role</t>
  </si>
  <si>
    <t>In Progress</t>
  </si>
  <si>
    <t>Blocked</t>
  </si>
  <si>
    <t>At Risk</t>
  </si>
  <si>
    <t>Completed</t>
  </si>
  <si>
    <t>Deferred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</si>
</sst>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sz val="11.0"/>
      <color theme="1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EAF2F8"/>
        <bgColor rgb="FFEAF2F8"/>
      </patternFill>
    </fill>
    <fill>
      <patternFill patternType="solid">
        <fgColor rgb="FFF3F6FA"/>
        <bgColor rgb="FFF3F6FA"/>
      </patternFill>
    </fill>
    <fill>
      <patternFill patternType="solid">
        <fgColor rgb="FF1F4E78"/>
        <bgColor rgb="FF1F4E78"/>
      </patternFill>
    </fill>
    <fill>
      <patternFill patternType="solid">
        <fgColor rgb="FF7F6000"/>
        <bgColor rgb="FF7F6000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D9EAD3"/>
        <bgColor rgb="FFD9EAD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4" fillId="3" fontId="3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4" fillId="5" fontId="5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4" fillId="5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vertical="top"/>
    </xf>
    <xf borderId="4" fillId="6" fontId="5" numFmtId="0" xfId="0" applyAlignment="1" applyBorder="1" applyFill="1" applyFont="1">
      <alignment horizontal="center" shrinkToFit="0" vertical="top" wrapText="1"/>
    </xf>
    <xf borderId="4" fillId="7" fontId="5" numFmtId="0" xfId="0" applyAlignment="1" applyBorder="1" applyFill="1" applyFont="1">
      <alignment horizontal="center" shrinkToFit="0" vertical="top" wrapText="1"/>
    </xf>
    <xf borderId="4" fillId="8" fontId="5" numFmtId="0" xfId="0" applyAlignment="1" applyBorder="1" applyFill="1" applyFont="1">
      <alignment horizontal="center" shrinkToFit="0" vertical="top" wrapText="1"/>
    </xf>
    <xf borderId="4" fillId="9" fontId="4" numFmtId="0" xfId="0" applyBorder="1" applyFill="1" applyFont="1"/>
    <xf borderId="0" fillId="0" fontId="6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7">
    <tableStyle count="3" pivot="0" name="Detailed Plan-style">
      <tableStyleElement dxfId="1" type="headerRow"/>
      <tableStyleElement dxfId="2" type="firstRowStripe"/>
      <tableStyleElement dxfId="3" type="secondRowStripe"/>
    </tableStyle>
    <tableStyle count="3" pivot="0" name="Daily Sprint-style">
      <tableStyleElement dxfId="1" type="headerRow"/>
      <tableStyleElement dxfId="2" type="firstRowStripe"/>
      <tableStyleElement dxfId="3" type="secondRowStripe"/>
    </tableStyle>
    <tableStyle count="3" pivot="0" name="RACI-style">
      <tableStyleElement dxfId="1" type="headerRow"/>
      <tableStyleElement dxfId="2" type="firstRowStripe"/>
      <tableStyleElement dxfId="3" type="secondRowStripe"/>
    </tableStyle>
    <tableStyle count="3" pivot="0" name="Deliverables-style">
      <tableStyleElement dxfId="1" type="headerRow"/>
      <tableStyleElement dxfId="2" type="firstRowStripe"/>
      <tableStyleElement dxfId="3" type="secondRowStripe"/>
    </tableStyle>
    <tableStyle count="3" pivot="0" name="Risks-style">
      <tableStyleElement dxfId="1" type="headerRow"/>
      <tableStyleElement dxfId="2" type="firstRowStripe"/>
      <tableStyleElement dxfId="3" type="secondRowStripe"/>
    </tableStyle>
    <tableStyle count="3" pivot="0" name="Acceptance Checklist-style">
      <tableStyleElement dxfId="1" type="headerRow"/>
      <tableStyleElement dxfId="2" type="firstRowStripe"/>
      <tableStyleElement dxfId="3" type="secondRowStripe"/>
    </tableStyle>
    <tableStyle count="3" pivot="0" name="Mapping Gui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9" displayName="Table_1" name="Table_1" id="1">
  <tableColumns count="14">
    <tableColumn name="WBS" id="1"/>
    <tableColumn name="Workstream" id="2"/>
    <tableColumn name="Activity" id="3"/>
    <tableColumn name="Detailed Task Description" id="4"/>
    <tableColumn name="Deliverable" id="5"/>
    <tableColumn name="Owner" id="6"/>
    <tableColumn name="Support" id="7"/>
    <tableColumn name="Priority" id="8"/>
    <tableColumn name="Status" id="9"/>
    <tableColumn name="Start Date" id="10"/>
    <tableColumn name="End Date" id="11"/>
    <tableColumn name="Dependencies" id="12"/>
    <tableColumn name="Acceptance Criteria" id="13"/>
    <tableColumn name="Notes" id="14"/>
  </tableColumns>
  <tableStyleInfo name="Detailed Plan-style" showColumnStripes="0" showFirstColumn="1" showLastColumn="1" showRowStripes="1"/>
</table>
</file>

<file path=xl/tables/table2.xml><?xml version="1.0" encoding="utf-8"?>
<table xmlns="http://schemas.openxmlformats.org/spreadsheetml/2006/main" ref="A1:G8" displayName="Table_2" name="Table_2" id="2">
  <tableColumns count="7">
    <tableColumn name="Day" id="1"/>
    <tableColumn name="Date" id="2"/>
    <tableColumn name="Focus" id="3"/>
    <tableColumn name="Key Activities" id="4"/>
    <tableColumn name="Primary Owners" id="5"/>
    <tableColumn name="Expected End-of-Day Output" id="6"/>
    <tableColumn name="PM Checkpoint" id="7"/>
  </tableColumns>
  <tableStyleInfo name="Daily Sprint-style" showColumnStripes="0" showFirstColumn="1" showLastColumn="1" showRowStripes="1"/>
</table>
</file>

<file path=xl/tables/table3.xml><?xml version="1.0" encoding="utf-8"?>
<table xmlns="http://schemas.openxmlformats.org/spreadsheetml/2006/main" ref="A1:F14" displayName="Table_3" name="Table_3" id="3">
  <tableColumns count="6">
    <tableColumn name="Deliverable / Activity" id="1"/>
    <tableColumn name="Project Manager" id="2"/>
    <tableColumn name="Aayush" id="3"/>
    <tableColumn name="Pankaj" id="4"/>
    <tableColumn name="Poorvith" id="5"/>
    <tableColumn name="Notes" id="6"/>
  </tableColumns>
  <tableStyleInfo name="RACI-style" showColumnStripes="0" showFirstColumn="1" showLastColumn="1" showRowStripes="1"/>
</table>
</file>

<file path=xl/tables/table4.xml><?xml version="1.0" encoding="utf-8"?>
<table xmlns="http://schemas.openxmlformats.org/spreadsheetml/2006/main" ref="A1:G9" displayName="Table_4" name="Table_4" id="4">
  <tableColumns count="7">
    <tableColumn name="ID" id="1"/>
    <tableColumn name="Deliverable" id="2"/>
    <tableColumn name="Description" id="3"/>
    <tableColumn name="Owner" id="4"/>
    <tableColumn name="Due Date" id="5"/>
    <tableColumn name="Acceptance Criteria" id="6"/>
    <tableColumn name="Status" id="7"/>
  </tableColumns>
  <tableStyleInfo name="Deliverables-style" showColumnStripes="0" showFirstColumn="1" showLastColumn="1" showRowStripes="1"/>
</table>
</file>

<file path=xl/tables/table5.xml><?xml version="1.0" encoding="utf-8"?>
<table xmlns="http://schemas.openxmlformats.org/spreadsheetml/2006/main" ref="A1:I9" displayName="Table_5" name="Table_5" id="5">
  <tableColumns count="9">
    <tableColumn name="Risk ID" id="1"/>
    <tableColumn name="Risk / Issue" id="2"/>
    <tableColumn name="Impact" id="3"/>
    <tableColumn name="Probability" id="4"/>
    <tableColumn name="Severity" id="5"/>
    <tableColumn name="Owner" id="6"/>
    <tableColumn name="Mitigation" id="7"/>
    <tableColumn name="Trigger / Early Warning" id="8"/>
    <tableColumn name="Status" id="9"/>
  </tableColumns>
  <tableStyleInfo name="Risks-style" showColumnStripes="0" showFirstColumn="1" showLastColumn="1" showRowStripes="1"/>
</table>
</file>

<file path=xl/tables/table6.xml><?xml version="1.0" encoding="utf-8"?>
<table xmlns="http://schemas.openxmlformats.org/spreadsheetml/2006/main" ref="A1:F15" displayName="Table_6" name="Table_6" id="6">
  <tableColumns count="6">
    <tableColumn name="Area" id="1"/>
    <tableColumn name="Checklist Item" id="2"/>
    <tableColumn name="Owner" id="3"/>
    <tableColumn name="Required for Sign-off" id="4"/>
    <tableColumn name="Status" id="5"/>
    <tableColumn name="Evidence / Notes" id="6"/>
  </tableColumns>
  <tableStyleInfo name="Acceptance Checklist-style" showColumnStripes="0" showFirstColumn="1" showLastColumn="1" showRowStripes="1"/>
</table>
</file>

<file path=xl/tables/table7.xml><?xml version="1.0" encoding="utf-8"?>
<table xmlns="http://schemas.openxmlformats.org/spreadsheetml/2006/main" ref="A1:G10" displayName="Table_7" name="Table_7" id="7">
  <tableColumns count="7">
    <tableColumn name="Requirement / Flow" id="1"/>
    <tableColumn name="Screen / Component" id="2"/>
    <tableColumn name="API" id="3"/>
    <tableColumn name="Backend Service" id="4"/>
    <tableColumn name="Repository / DB Object" id="5"/>
    <tableColumn name="Audit Event" id="6"/>
    <tableColumn name="Test Case Owner" id="7"/>
  </tableColumns>
  <tableStyleInfo name="Mapping 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4.0"/>
    <col customWidth="1" min="3" max="8" width="20.0"/>
    <col customWidth="1" min="9" max="26" width="8.88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</v>
      </c>
      <c r="B2" s="6" t="s">
        <v>2</v>
      </c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" t="s">
        <v>11</v>
      </c>
      <c r="B6" s="8" t="s">
        <v>12</v>
      </c>
      <c r="C6" s="8" t="s">
        <v>9</v>
      </c>
      <c r="D6" s="8" t="s">
        <v>13</v>
      </c>
      <c r="E6" s="8" t="s">
        <v>14</v>
      </c>
      <c r="F6" s="8" t="s">
        <v>15</v>
      </c>
      <c r="G6" s="8"/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9" t="s">
        <v>16</v>
      </c>
      <c r="B7" s="9">
        <f>COUNTA('Detailed Plan'!A2:A200)</f>
        <v>38</v>
      </c>
      <c r="C7" s="9" t="s">
        <v>17</v>
      </c>
      <c r="D7" s="9" t="s">
        <v>18</v>
      </c>
      <c r="E7" s="9" t="s">
        <v>19</v>
      </c>
      <c r="F7" s="9" t="s">
        <v>20</v>
      </c>
      <c r="G7" s="9"/>
      <c r="H7" s="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9" t="s">
        <v>21</v>
      </c>
      <c r="B8" s="9">
        <f>COUNTIF('Detailed Plan'!H2:H200,"Critical")</f>
        <v>24</v>
      </c>
      <c r="C8" s="9" t="s">
        <v>22</v>
      </c>
      <c r="D8" s="9" t="s">
        <v>18</v>
      </c>
      <c r="E8" s="9" t="s">
        <v>19</v>
      </c>
      <c r="F8" s="9" t="s">
        <v>23</v>
      </c>
      <c r="G8" s="9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9" t="s">
        <v>24</v>
      </c>
      <c r="B9" s="9">
        <f>COUNTIF('Detailed Plan'!I2:I200,"Completed")</f>
        <v>0</v>
      </c>
      <c r="C9" s="9" t="s">
        <v>25</v>
      </c>
      <c r="D9" s="9" t="s">
        <v>26</v>
      </c>
      <c r="E9" s="9" t="s">
        <v>27</v>
      </c>
      <c r="F9" s="9" t="s">
        <v>28</v>
      </c>
      <c r="G9" s="9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9" t="s">
        <v>29</v>
      </c>
      <c r="B10" s="9">
        <f>COUNTIF('Detailed Plan'!I2:I200,"Blocked")</f>
        <v>0</v>
      </c>
      <c r="C10" s="9" t="s">
        <v>30</v>
      </c>
      <c r="D10" s="9" t="s">
        <v>18</v>
      </c>
      <c r="E10" s="9" t="s">
        <v>27</v>
      </c>
      <c r="F10" s="9" t="s">
        <v>31</v>
      </c>
      <c r="G10" s="9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9" t="s">
        <v>32</v>
      </c>
      <c r="B11" s="9" t="s">
        <v>33</v>
      </c>
      <c r="C11" s="9" t="s">
        <v>34</v>
      </c>
      <c r="D11" s="9" t="s">
        <v>18</v>
      </c>
      <c r="E11" s="9" t="s">
        <v>35</v>
      </c>
      <c r="F11" s="9" t="s">
        <v>36</v>
      </c>
      <c r="G11" s="9"/>
      <c r="H11" s="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B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0"/>
    <col customWidth="1" min="3" max="3" width="28.0"/>
    <col customWidth="1" min="4" max="4" width="45.0"/>
    <col customWidth="1" min="5" max="5" width="28.0"/>
    <col customWidth="1" min="6" max="6" width="18.0"/>
    <col customWidth="1" min="7" max="7" width="22.0"/>
    <col customWidth="1" min="8" max="8" width="12.0"/>
    <col customWidth="1" min="9" max="9" width="15.0"/>
    <col customWidth="1" min="10" max="11" width="14.0"/>
    <col customWidth="1" min="12" max="12" width="35.0"/>
    <col customWidth="1" min="13" max="13" width="40.0"/>
    <col customWidth="1" min="14" max="14" width="28.0"/>
    <col customWidth="1" min="15" max="26" width="8.88"/>
  </cols>
  <sheetData>
    <row r="1" ht="13.5" customHeight="1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13</v>
      </c>
      <c r="G1" s="10" t="s">
        <v>42</v>
      </c>
      <c r="H1" s="10" t="s">
        <v>43</v>
      </c>
      <c r="I1" s="10" t="s">
        <v>14</v>
      </c>
      <c r="J1" s="10" t="s">
        <v>44</v>
      </c>
      <c r="K1" s="10" t="s">
        <v>45</v>
      </c>
      <c r="L1" s="10" t="s">
        <v>46</v>
      </c>
      <c r="M1" s="10" t="s">
        <v>47</v>
      </c>
      <c r="N1" s="10" t="s">
        <v>15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26</v>
      </c>
      <c r="H2" s="11" t="s">
        <v>54</v>
      </c>
      <c r="I2" s="11" t="s">
        <v>55</v>
      </c>
      <c r="J2" s="11" t="s">
        <v>56</v>
      </c>
      <c r="K2" s="11" t="s">
        <v>56</v>
      </c>
      <c r="L2" s="11" t="s">
        <v>57</v>
      </c>
      <c r="M2" s="11" t="s">
        <v>58</v>
      </c>
      <c r="N2" s="11" t="s">
        <v>59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60</v>
      </c>
      <c r="B3" s="11" t="s">
        <v>49</v>
      </c>
      <c r="C3" s="11" t="s">
        <v>61</v>
      </c>
      <c r="D3" s="11" t="s">
        <v>62</v>
      </c>
      <c r="E3" s="11" t="s">
        <v>63</v>
      </c>
      <c r="F3" s="11" t="s">
        <v>53</v>
      </c>
      <c r="G3" s="11" t="s">
        <v>26</v>
      </c>
      <c r="H3" s="11" t="s">
        <v>64</v>
      </c>
      <c r="I3" s="11" t="s">
        <v>55</v>
      </c>
      <c r="J3" s="11" t="s">
        <v>56</v>
      </c>
      <c r="K3" s="11" t="s">
        <v>56</v>
      </c>
      <c r="L3" s="11" t="s">
        <v>65</v>
      </c>
      <c r="M3" s="11" t="s">
        <v>66</v>
      </c>
      <c r="N3" s="11" t="s">
        <v>67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54</v>
      </c>
      <c r="I4" s="11" t="s">
        <v>55</v>
      </c>
      <c r="J4" s="11" t="s">
        <v>56</v>
      </c>
      <c r="K4" s="11" t="s">
        <v>56</v>
      </c>
      <c r="L4" s="11" t="s">
        <v>75</v>
      </c>
      <c r="M4" s="11" t="s">
        <v>76</v>
      </c>
      <c r="N4" s="1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77</v>
      </c>
      <c r="B5" s="11" t="s">
        <v>69</v>
      </c>
      <c r="C5" s="11" t="s">
        <v>78</v>
      </c>
      <c r="D5" s="11" t="s">
        <v>79</v>
      </c>
      <c r="E5" s="11" t="s">
        <v>80</v>
      </c>
      <c r="F5" s="11" t="s">
        <v>73</v>
      </c>
      <c r="G5" s="11" t="s">
        <v>74</v>
      </c>
      <c r="H5" s="11" t="s">
        <v>54</v>
      </c>
      <c r="I5" s="11" t="s">
        <v>55</v>
      </c>
      <c r="J5" s="11" t="s">
        <v>56</v>
      </c>
      <c r="K5" s="11" t="s">
        <v>81</v>
      </c>
      <c r="L5" s="11" t="s">
        <v>72</v>
      </c>
      <c r="M5" s="11" t="s">
        <v>82</v>
      </c>
      <c r="N5" s="1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83</v>
      </c>
      <c r="B6" s="11" t="s">
        <v>84</v>
      </c>
      <c r="C6" s="11" t="s">
        <v>85</v>
      </c>
      <c r="D6" s="11" t="s">
        <v>86</v>
      </c>
      <c r="E6" s="11" t="s">
        <v>87</v>
      </c>
      <c r="F6" s="11" t="s">
        <v>74</v>
      </c>
      <c r="G6" s="11" t="s">
        <v>73</v>
      </c>
      <c r="H6" s="11" t="s">
        <v>54</v>
      </c>
      <c r="I6" s="11" t="s">
        <v>55</v>
      </c>
      <c r="J6" s="11" t="s">
        <v>56</v>
      </c>
      <c r="K6" s="11" t="s">
        <v>81</v>
      </c>
      <c r="L6" s="11" t="s">
        <v>88</v>
      </c>
      <c r="M6" s="11" t="s">
        <v>89</v>
      </c>
      <c r="N6" s="1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73</v>
      </c>
      <c r="H7" s="11" t="s">
        <v>64</v>
      </c>
      <c r="I7" s="11" t="s">
        <v>55</v>
      </c>
      <c r="J7" s="11" t="s">
        <v>56</v>
      </c>
      <c r="K7" s="11" t="s">
        <v>81</v>
      </c>
      <c r="L7" s="11" t="s">
        <v>96</v>
      </c>
      <c r="M7" s="11" t="s">
        <v>97</v>
      </c>
      <c r="N7" s="1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98</v>
      </c>
      <c r="B8" s="11" t="s">
        <v>69</v>
      </c>
      <c r="C8" s="11" t="s">
        <v>99</v>
      </c>
      <c r="D8" s="11" t="s">
        <v>100</v>
      </c>
      <c r="E8" s="11" t="s">
        <v>101</v>
      </c>
      <c r="F8" s="11" t="s">
        <v>73</v>
      </c>
      <c r="G8" s="11" t="s">
        <v>74</v>
      </c>
      <c r="H8" s="11" t="s">
        <v>54</v>
      </c>
      <c r="I8" s="11" t="s">
        <v>55</v>
      </c>
      <c r="J8" s="11" t="s">
        <v>81</v>
      </c>
      <c r="K8" s="11" t="s">
        <v>102</v>
      </c>
      <c r="L8" s="11" t="s">
        <v>80</v>
      </c>
      <c r="M8" s="11" t="s">
        <v>103</v>
      </c>
      <c r="N8" s="1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104</v>
      </c>
      <c r="B9" s="11" t="s">
        <v>69</v>
      </c>
      <c r="C9" s="11" t="s">
        <v>105</v>
      </c>
      <c r="D9" s="11" t="s">
        <v>106</v>
      </c>
      <c r="E9" s="11" t="s">
        <v>107</v>
      </c>
      <c r="F9" s="11" t="s">
        <v>73</v>
      </c>
      <c r="G9" s="11" t="s">
        <v>74</v>
      </c>
      <c r="H9" s="11" t="s">
        <v>54</v>
      </c>
      <c r="I9" s="11" t="s">
        <v>55</v>
      </c>
      <c r="J9" s="11" t="s">
        <v>81</v>
      </c>
      <c r="K9" s="11" t="s">
        <v>102</v>
      </c>
      <c r="L9" s="11" t="s">
        <v>108</v>
      </c>
      <c r="M9" s="11" t="s">
        <v>109</v>
      </c>
      <c r="N9" s="1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" t="s">
        <v>110</v>
      </c>
      <c r="B10" s="11" t="s">
        <v>69</v>
      </c>
      <c r="C10" s="11" t="s">
        <v>111</v>
      </c>
      <c r="D10" s="11" t="s">
        <v>112</v>
      </c>
      <c r="E10" s="11" t="s">
        <v>113</v>
      </c>
      <c r="F10" s="11" t="s">
        <v>73</v>
      </c>
      <c r="G10" s="11" t="s">
        <v>74</v>
      </c>
      <c r="H10" s="11" t="s">
        <v>64</v>
      </c>
      <c r="I10" s="11" t="s">
        <v>55</v>
      </c>
      <c r="J10" s="11" t="s">
        <v>81</v>
      </c>
      <c r="K10" s="11" t="s">
        <v>102</v>
      </c>
      <c r="L10" s="11" t="s">
        <v>108</v>
      </c>
      <c r="M10" s="11" t="s">
        <v>114</v>
      </c>
      <c r="N10" s="1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1" t="s">
        <v>115</v>
      </c>
      <c r="B11" s="11" t="s">
        <v>84</v>
      </c>
      <c r="C11" s="11" t="s">
        <v>116</v>
      </c>
      <c r="D11" s="11" t="s">
        <v>117</v>
      </c>
      <c r="E11" s="11" t="s">
        <v>118</v>
      </c>
      <c r="F11" s="11" t="s">
        <v>74</v>
      </c>
      <c r="G11" s="11" t="s">
        <v>73</v>
      </c>
      <c r="H11" s="11" t="s">
        <v>54</v>
      </c>
      <c r="I11" s="11" t="s">
        <v>55</v>
      </c>
      <c r="J11" s="11" t="s">
        <v>81</v>
      </c>
      <c r="K11" s="11" t="s">
        <v>102</v>
      </c>
      <c r="L11" s="11" t="s">
        <v>108</v>
      </c>
      <c r="M11" s="11" t="s">
        <v>119</v>
      </c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1" t="s">
        <v>120</v>
      </c>
      <c r="B12" s="11" t="s">
        <v>84</v>
      </c>
      <c r="C12" s="11" t="s">
        <v>121</v>
      </c>
      <c r="D12" s="11" t="s">
        <v>122</v>
      </c>
      <c r="E12" s="11" t="s">
        <v>123</v>
      </c>
      <c r="F12" s="11" t="s">
        <v>74</v>
      </c>
      <c r="G12" s="11" t="s">
        <v>73</v>
      </c>
      <c r="H12" s="11" t="s">
        <v>54</v>
      </c>
      <c r="I12" s="11" t="s">
        <v>55</v>
      </c>
      <c r="J12" s="11" t="s">
        <v>81</v>
      </c>
      <c r="K12" s="11" t="s">
        <v>102</v>
      </c>
      <c r="L12" s="11" t="s">
        <v>124</v>
      </c>
      <c r="M12" s="11" t="s">
        <v>125</v>
      </c>
      <c r="N12" s="1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1" t="s">
        <v>126</v>
      </c>
      <c r="B13" s="11" t="s">
        <v>91</v>
      </c>
      <c r="C13" s="11" t="s">
        <v>127</v>
      </c>
      <c r="D13" s="11" t="s">
        <v>128</v>
      </c>
      <c r="E13" s="11" t="s">
        <v>129</v>
      </c>
      <c r="F13" s="11" t="s">
        <v>95</v>
      </c>
      <c r="G13" s="11" t="s">
        <v>73</v>
      </c>
      <c r="H13" s="11" t="s">
        <v>64</v>
      </c>
      <c r="I13" s="11" t="s">
        <v>55</v>
      </c>
      <c r="J13" s="11" t="s">
        <v>81</v>
      </c>
      <c r="K13" s="11" t="s">
        <v>102</v>
      </c>
      <c r="L13" s="11" t="s">
        <v>130</v>
      </c>
      <c r="M13" s="11" t="s">
        <v>131</v>
      </c>
      <c r="N13" s="1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1" t="s">
        <v>132</v>
      </c>
      <c r="B14" s="11" t="s">
        <v>84</v>
      </c>
      <c r="C14" s="11" t="s">
        <v>133</v>
      </c>
      <c r="D14" s="11" t="s">
        <v>134</v>
      </c>
      <c r="E14" s="11" t="s">
        <v>135</v>
      </c>
      <c r="F14" s="11" t="s">
        <v>74</v>
      </c>
      <c r="G14" s="11" t="s">
        <v>73</v>
      </c>
      <c r="H14" s="11" t="s">
        <v>54</v>
      </c>
      <c r="I14" s="11" t="s">
        <v>55</v>
      </c>
      <c r="J14" s="11" t="s">
        <v>102</v>
      </c>
      <c r="K14" s="11" t="s">
        <v>136</v>
      </c>
      <c r="L14" s="11" t="s">
        <v>123</v>
      </c>
      <c r="M14" s="11" t="s">
        <v>137</v>
      </c>
      <c r="N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1" t="s">
        <v>138</v>
      </c>
      <c r="B15" s="11" t="s">
        <v>84</v>
      </c>
      <c r="C15" s="11" t="s">
        <v>139</v>
      </c>
      <c r="D15" s="11" t="s">
        <v>140</v>
      </c>
      <c r="E15" s="11" t="s">
        <v>141</v>
      </c>
      <c r="F15" s="11" t="s">
        <v>74</v>
      </c>
      <c r="G15" s="11" t="s">
        <v>73</v>
      </c>
      <c r="H15" s="11" t="s">
        <v>54</v>
      </c>
      <c r="I15" s="11" t="s">
        <v>55</v>
      </c>
      <c r="J15" s="11" t="s">
        <v>102</v>
      </c>
      <c r="K15" s="11" t="s">
        <v>136</v>
      </c>
      <c r="L15" s="11" t="s">
        <v>142</v>
      </c>
      <c r="M15" s="11" t="s">
        <v>143</v>
      </c>
      <c r="N15" s="1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1" t="s">
        <v>144</v>
      </c>
      <c r="B16" s="11" t="s">
        <v>84</v>
      </c>
      <c r="C16" s="11" t="s">
        <v>145</v>
      </c>
      <c r="D16" s="11" t="s">
        <v>146</v>
      </c>
      <c r="E16" s="11" t="s">
        <v>147</v>
      </c>
      <c r="F16" s="11" t="s">
        <v>74</v>
      </c>
      <c r="G16" s="11" t="s">
        <v>73</v>
      </c>
      <c r="H16" s="11" t="s">
        <v>54</v>
      </c>
      <c r="I16" s="11" t="s">
        <v>55</v>
      </c>
      <c r="J16" s="11" t="s">
        <v>102</v>
      </c>
      <c r="K16" s="11" t="s">
        <v>136</v>
      </c>
      <c r="L16" s="11" t="s">
        <v>148</v>
      </c>
      <c r="M16" s="11" t="s">
        <v>149</v>
      </c>
      <c r="N16" s="1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1" t="s">
        <v>150</v>
      </c>
      <c r="B17" s="11" t="s">
        <v>84</v>
      </c>
      <c r="C17" s="11" t="s">
        <v>151</v>
      </c>
      <c r="D17" s="11" t="s">
        <v>152</v>
      </c>
      <c r="E17" s="11" t="s">
        <v>153</v>
      </c>
      <c r="F17" s="11" t="s">
        <v>74</v>
      </c>
      <c r="G17" s="11" t="s">
        <v>73</v>
      </c>
      <c r="H17" s="11" t="s">
        <v>54</v>
      </c>
      <c r="I17" s="11" t="s">
        <v>55</v>
      </c>
      <c r="J17" s="11" t="s">
        <v>102</v>
      </c>
      <c r="K17" s="11" t="s">
        <v>136</v>
      </c>
      <c r="L17" s="11" t="s">
        <v>142</v>
      </c>
      <c r="M17" s="11" t="s">
        <v>154</v>
      </c>
      <c r="N17" s="1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1" t="s">
        <v>155</v>
      </c>
      <c r="B18" s="11" t="s">
        <v>91</v>
      </c>
      <c r="C18" s="11" t="s">
        <v>156</v>
      </c>
      <c r="D18" s="11" t="s">
        <v>157</v>
      </c>
      <c r="E18" s="11" t="s">
        <v>158</v>
      </c>
      <c r="F18" s="11" t="s">
        <v>95</v>
      </c>
      <c r="G18" s="11" t="s">
        <v>73</v>
      </c>
      <c r="H18" s="11" t="s">
        <v>64</v>
      </c>
      <c r="I18" s="11" t="s">
        <v>55</v>
      </c>
      <c r="J18" s="11" t="s">
        <v>102</v>
      </c>
      <c r="K18" s="11" t="s">
        <v>159</v>
      </c>
      <c r="L18" s="11" t="s">
        <v>160</v>
      </c>
      <c r="M18" s="11" t="s">
        <v>161</v>
      </c>
      <c r="N18" s="1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1" t="s">
        <v>162</v>
      </c>
      <c r="B19" s="11" t="s">
        <v>91</v>
      </c>
      <c r="C19" s="11" t="s">
        <v>163</v>
      </c>
      <c r="D19" s="11" t="s">
        <v>164</v>
      </c>
      <c r="E19" s="11" t="s">
        <v>165</v>
      </c>
      <c r="F19" s="11" t="s">
        <v>95</v>
      </c>
      <c r="G19" s="11" t="s">
        <v>73</v>
      </c>
      <c r="H19" s="11" t="s">
        <v>64</v>
      </c>
      <c r="I19" s="11" t="s">
        <v>55</v>
      </c>
      <c r="J19" s="11" t="s">
        <v>102</v>
      </c>
      <c r="K19" s="11" t="s">
        <v>159</v>
      </c>
      <c r="L19" s="11" t="s">
        <v>160</v>
      </c>
      <c r="M19" s="11" t="s">
        <v>166</v>
      </c>
      <c r="N19" s="1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1" t="s">
        <v>167</v>
      </c>
      <c r="B20" s="11" t="s">
        <v>84</v>
      </c>
      <c r="C20" s="11" t="s">
        <v>168</v>
      </c>
      <c r="D20" s="11" t="s">
        <v>169</v>
      </c>
      <c r="E20" s="11" t="s">
        <v>170</v>
      </c>
      <c r="F20" s="11" t="s">
        <v>74</v>
      </c>
      <c r="G20" s="11" t="s">
        <v>73</v>
      </c>
      <c r="H20" s="11" t="s">
        <v>54</v>
      </c>
      <c r="I20" s="11" t="s">
        <v>55</v>
      </c>
      <c r="J20" s="11" t="s">
        <v>136</v>
      </c>
      <c r="K20" s="11" t="s">
        <v>159</v>
      </c>
      <c r="L20" s="11" t="s">
        <v>171</v>
      </c>
      <c r="M20" s="11" t="s">
        <v>172</v>
      </c>
      <c r="N20" s="1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1" t="s">
        <v>173</v>
      </c>
      <c r="B21" s="11" t="s">
        <v>84</v>
      </c>
      <c r="C21" s="11" t="s">
        <v>174</v>
      </c>
      <c r="D21" s="11" t="s">
        <v>175</v>
      </c>
      <c r="E21" s="11" t="s">
        <v>176</v>
      </c>
      <c r="F21" s="11" t="s">
        <v>74</v>
      </c>
      <c r="G21" s="11" t="s">
        <v>73</v>
      </c>
      <c r="H21" s="11" t="s">
        <v>54</v>
      </c>
      <c r="I21" s="11" t="s">
        <v>55</v>
      </c>
      <c r="J21" s="11" t="s">
        <v>136</v>
      </c>
      <c r="K21" s="11" t="s">
        <v>159</v>
      </c>
      <c r="L21" s="11" t="s">
        <v>177</v>
      </c>
      <c r="M21" s="11" t="s">
        <v>178</v>
      </c>
      <c r="N21" s="1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1" t="s">
        <v>179</v>
      </c>
      <c r="B22" s="11" t="s">
        <v>84</v>
      </c>
      <c r="C22" s="11" t="s">
        <v>180</v>
      </c>
      <c r="D22" s="11" t="s">
        <v>181</v>
      </c>
      <c r="E22" s="11" t="s">
        <v>182</v>
      </c>
      <c r="F22" s="11" t="s">
        <v>73</v>
      </c>
      <c r="G22" s="11" t="s">
        <v>74</v>
      </c>
      <c r="H22" s="11" t="s">
        <v>54</v>
      </c>
      <c r="I22" s="11" t="s">
        <v>55</v>
      </c>
      <c r="J22" s="11" t="s">
        <v>136</v>
      </c>
      <c r="K22" s="11" t="s">
        <v>159</v>
      </c>
      <c r="L22" s="11" t="s">
        <v>183</v>
      </c>
      <c r="M22" s="11" t="s">
        <v>184</v>
      </c>
      <c r="N22" s="1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1" t="s">
        <v>185</v>
      </c>
      <c r="B23" s="11" t="s">
        <v>91</v>
      </c>
      <c r="C23" s="11" t="s">
        <v>186</v>
      </c>
      <c r="D23" s="11" t="s">
        <v>187</v>
      </c>
      <c r="E23" s="11" t="s">
        <v>188</v>
      </c>
      <c r="F23" s="11" t="s">
        <v>95</v>
      </c>
      <c r="G23" s="11" t="s">
        <v>73</v>
      </c>
      <c r="H23" s="11" t="s">
        <v>64</v>
      </c>
      <c r="I23" s="11" t="s">
        <v>55</v>
      </c>
      <c r="J23" s="11" t="s">
        <v>136</v>
      </c>
      <c r="K23" s="11" t="s">
        <v>159</v>
      </c>
      <c r="L23" s="11" t="s">
        <v>189</v>
      </c>
      <c r="M23" s="11" t="s">
        <v>190</v>
      </c>
      <c r="N23" s="1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1" t="s">
        <v>191</v>
      </c>
      <c r="B24" s="11" t="s">
        <v>91</v>
      </c>
      <c r="C24" s="11" t="s">
        <v>192</v>
      </c>
      <c r="D24" s="11" t="s">
        <v>193</v>
      </c>
      <c r="E24" s="11" t="s">
        <v>192</v>
      </c>
      <c r="F24" s="11" t="s">
        <v>95</v>
      </c>
      <c r="G24" s="11" t="s">
        <v>74</v>
      </c>
      <c r="H24" s="11" t="s">
        <v>64</v>
      </c>
      <c r="I24" s="11" t="s">
        <v>55</v>
      </c>
      <c r="J24" s="11" t="s">
        <v>136</v>
      </c>
      <c r="K24" s="11" t="s">
        <v>194</v>
      </c>
      <c r="L24" s="11" t="s">
        <v>195</v>
      </c>
      <c r="M24" s="11" t="s">
        <v>196</v>
      </c>
      <c r="N24" s="1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1" t="s">
        <v>197</v>
      </c>
      <c r="B25" s="11" t="s">
        <v>198</v>
      </c>
      <c r="C25" s="11" t="s">
        <v>199</v>
      </c>
      <c r="D25" s="11" t="s">
        <v>200</v>
      </c>
      <c r="E25" s="11" t="s">
        <v>201</v>
      </c>
      <c r="F25" s="11" t="s">
        <v>73</v>
      </c>
      <c r="G25" s="11" t="s">
        <v>202</v>
      </c>
      <c r="H25" s="11" t="s">
        <v>54</v>
      </c>
      <c r="I25" s="11" t="s">
        <v>55</v>
      </c>
      <c r="J25" s="11" t="s">
        <v>159</v>
      </c>
      <c r="K25" s="11" t="s">
        <v>194</v>
      </c>
      <c r="L25" s="11" t="s">
        <v>203</v>
      </c>
      <c r="M25" s="11" t="s">
        <v>204</v>
      </c>
      <c r="N25" s="1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1" t="s">
        <v>205</v>
      </c>
      <c r="B26" s="11" t="s">
        <v>91</v>
      </c>
      <c r="C26" s="11" t="s">
        <v>206</v>
      </c>
      <c r="D26" s="11" t="s">
        <v>207</v>
      </c>
      <c r="E26" s="11" t="s">
        <v>208</v>
      </c>
      <c r="F26" s="11" t="s">
        <v>95</v>
      </c>
      <c r="G26" s="11" t="s">
        <v>74</v>
      </c>
      <c r="H26" s="11" t="s">
        <v>209</v>
      </c>
      <c r="I26" s="11" t="s">
        <v>55</v>
      </c>
      <c r="J26" s="11" t="s">
        <v>159</v>
      </c>
      <c r="K26" s="11" t="s">
        <v>194</v>
      </c>
      <c r="L26" s="11" t="s">
        <v>210</v>
      </c>
      <c r="M26" s="11" t="s">
        <v>211</v>
      </c>
      <c r="N26" s="1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1" t="s">
        <v>212</v>
      </c>
      <c r="B27" s="11" t="s">
        <v>84</v>
      </c>
      <c r="C27" s="11" t="s">
        <v>213</v>
      </c>
      <c r="D27" s="11" t="s">
        <v>214</v>
      </c>
      <c r="E27" s="11" t="s">
        <v>215</v>
      </c>
      <c r="F27" s="11" t="s">
        <v>74</v>
      </c>
      <c r="G27" s="11" t="s">
        <v>73</v>
      </c>
      <c r="H27" s="11" t="s">
        <v>209</v>
      </c>
      <c r="I27" s="11" t="s">
        <v>55</v>
      </c>
      <c r="J27" s="11" t="s">
        <v>159</v>
      </c>
      <c r="K27" s="11" t="s">
        <v>194</v>
      </c>
      <c r="L27" s="11" t="s">
        <v>195</v>
      </c>
      <c r="M27" s="11" t="s">
        <v>216</v>
      </c>
      <c r="N27" s="1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1" t="s">
        <v>217</v>
      </c>
      <c r="B28" s="11" t="s">
        <v>218</v>
      </c>
      <c r="C28" s="11" t="s">
        <v>219</v>
      </c>
      <c r="D28" s="11" t="s">
        <v>220</v>
      </c>
      <c r="E28" s="11" t="s">
        <v>221</v>
      </c>
      <c r="F28" s="11" t="s">
        <v>74</v>
      </c>
      <c r="G28" s="11" t="s">
        <v>53</v>
      </c>
      <c r="H28" s="11" t="s">
        <v>54</v>
      </c>
      <c r="I28" s="11" t="s">
        <v>55</v>
      </c>
      <c r="J28" s="11" t="s">
        <v>159</v>
      </c>
      <c r="K28" s="11" t="s">
        <v>194</v>
      </c>
      <c r="L28" s="11" t="s">
        <v>201</v>
      </c>
      <c r="M28" s="11" t="s">
        <v>222</v>
      </c>
      <c r="N28" s="1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1" t="s">
        <v>223</v>
      </c>
      <c r="B29" s="11" t="s">
        <v>49</v>
      </c>
      <c r="C29" s="11" t="s">
        <v>224</v>
      </c>
      <c r="D29" s="11" t="s">
        <v>225</v>
      </c>
      <c r="E29" s="11" t="s">
        <v>226</v>
      </c>
      <c r="F29" s="11" t="s">
        <v>53</v>
      </c>
      <c r="G29" s="11" t="s">
        <v>26</v>
      </c>
      <c r="H29" s="11" t="s">
        <v>64</v>
      </c>
      <c r="I29" s="11" t="s">
        <v>55</v>
      </c>
      <c r="J29" s="11" t="s">
        <v>159</v>
      </c>
      <c r="K29" s="11" t="s">
        <v>159</v>
      </c>
      <c r="L29" s="11" t="s">
        <v>227</v>
      </c>
      <c r="M29" s="11" t="s">
        <v>228</v>
      </c>
      <c r="N29" s="1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1" t="s">
        <v>229</v>
      </c>
      <c r="B30" s="11" t="s">
        <v>230</v>
      </c>
      <c r="C30" s="11" t="s">
        <v>231</v>
      </c>
      <c r="D30" s="11" t="s">
        <v>232</v>
      </c>
      <c r="E30" s="11" t="s">
        <v>233</v>
      </c>
      <c r="F30" s="11" t="s">
        <v>73</v>
      </c>
      <c r="G30" s="11" t="s">
        <v>202</v>
      </c>
      <c r="H30" s="11" t="s">
        <v>54</v>
      </c>
      <c r="I30" s="11" t="s">
        <v>55</v>
      </c>
      <c r="J30" s="11" t="s">
        <v>194</v>
      </c>
      <c r="K30" s="11" t="s">
        <v>194</v>
      </c>
      <c r="L30" s="11" t="s">
        <v>234</v>
      </c>
      <c r="M30" s="11" t="s">
        <v>235</v>
      </c>
      <c r="N30" s="1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1" t="s">
        <v>236</v>
      </c>
      <c r="B31" s="11" t="s">
        <v>230</v>
      </c>
      <c r="C31" s="11" t="s">
        <v>237</v>
      </c>
      <c r="D31" s="11" t="s">
        <v>238</v>
      </c>
      <c r="E31" s="11" t="s">
        <v>239</v>
      </c>
      <c r="F31" s="11" t="s">
        <v>95</v>
      </c>
      <c r="G31" s="11" t="s">
        <v>240</v>
      </c>
      <c r="H31" s="11" t="s">
        <v>54</v>
      </c>
      <c r="I31" s="11" t="s">
        <v>55</v>
      </c>
      <c r="J31" s="11" t="s">
        <v>194</v>
      </c>
      <c r="K31" s="11" t="s">
        <v>194</v>
      </c>
      <c r="L31" s="11" t="s">
        <v>241</v>
      </c>
      <c r="M31" s="11" t="s">
        <v>242</v>
      </c>
      <c r="N31" s="1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1" t="s">
        <v>243</v>
      </c>
      <c r="B32" s="11" t="s">
        <v>218</v>
      </c>
      <c r="C32" s="11" t="s">
        <v>244</v>
      </c>
      <c r="D32" s="11" t="s">
        <v>245</v>
      </c>
      <c r="E32" s="11" t="s">
        <v>246</v>
      </c>
      <c r="F32" s="11" t="s">
        <v>74</v>
      </c>
      <c r="G32" s="11" t="s">
        <v>73</v>
      </c>
      <c r="H32" s="11" t="s">
        <v>54</v>
      </c>
      <c r="I32" s="11" t="s">
        <v>55</v>
      </c>
      <c r="J32" s="11" t="s">
        <v>194</v>
      </c>
      <c r="K32" s="11" t="s">
        <v>194</v>
      </c>
      <c r="L32" s="11" t="s">
        <v>247</v>
      </c>
      <c r="M32" s="11" t="s">
        <v>248</v>
      </c>
      <c r="N32" s="11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1" t="s">
        <v>249</v>
      </c>
      <c r="B33" s="11" t="s">
        <v>218</v>
      </c>
      <c r="C33" s="11" t="s">
        <v>250</v>
      </c>
      <c r="D33" s="11" t="s">
        <v>251</v>
      </c>
      <c r="E33" s="11" t="s">
        <v>252</v>
      </c>
      <c r="F33" s="11" t="s">
        <v>74</v>
      </c>
      <c r="G33" s="11" t="s">
        <v>95</v>
      </c>
      <c r="H33" s="11" t="s">
        <v>64</v>
      </c>
      <c r="I33" s="11" t="s">
        <v>55</v>
      </c>
      <c r="J33" s="11" t="s">
        <v>194</v>
      </c>
      <c r="K33" s="11" t="s">
        <v>194</v>
      </c>
      <c r="L33" s="11" t="s">
        <v>253</v>
      </c>
      <c r="M33" s="11" t="s">
        <v>254</v>
      </c>
      <c r="N33" s="1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1" t="s">
        <v>255</v>
      </c>
      <c r="B34" s="11" t="s">
        <v>256</v>
      </c>
      <c r="C34" s="11" t="s">
        <v>257</v>
      </c>
      <c r="D34" s="11" t="s">
        <v>258</v>
      </c>
      <c r="E34" s="11" t="s">
        <v>259</v>
      </c>
      <c r="F34" s="11" t="s">
        <v>53</v>
      </c>
      <c r="G34" s="11" t="s">
        <v>26</v>
      </c>
      <c r="H34" s="11" t="s">
        <v>54</v>
      </c>
      <c r="I34" s="11" t="s">
        <v>55</v>
      </c>
      <c r="J34" s="11" t="s">
        <v>194</v>
      </c>
      <c r="K34" s="11" t="s">
        <v>260</v>
      </c>
      <c r="L34" s="11" t="s">
        <v>261</v>
      </c>
      <c r="M34" s="11" t="s">
        <v>262</v>
      </c>
      <c r="N34" s="1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1" t="s">
        <v>263</v>
      </c>
      <c r="B35" s="11" t="s">
        <v>218</v>
      </c>
      <c r="C35" s="11" t="s">
        <v>264</v>
      </c>
      <c r="D35" s="11" t="s">
        <v>265</v>
      </c>
      <c r="E35" s="11" t="s">
        <v>266</v>
      </c>
      <c r="F35" s="11" t="s">
        <v>74</v>
      </c>
      <c r="G35" s="11" t="s">
        <v>267</v>
      </c>
      <c r="H35" s="11" t="s">
        <v>54</v>
      </c>
      <c r="I35" s="11" t="s">
        <v>55</v>
      </c>
      <c r="J35" s="11" t="s">
        <v>260</v>
      </c>
      <c r="K35" s="11" t="s">
        <v>260</v>
      </c>
      <c r="L35" s="11" t="s">
        <v>268</v>
      </c>
      <c r="M35" s="11" t="s">
        <v>269</v>
      </c>
      <c r="N35" s="1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1" t="s">
        <v>270</v>
      </c>
      <c r="B36" s="11" t="s">
        <v>49</v>
      </c>
      <c r="C36" s="11" t="s">
        <v>271</v>
      </c>
      <c r="D36" s="11" t="s">
        <v>272</v>
      </c>
      <c r="E36" s="11" t="s">
        <v>273</v>
      </c>
      <c r="F36" s="11" t="s">
        <v>53</v>
      </c>
      <c r="G36" s="11" t="s">
        <v>26</v>
      </c>
      <c r="H36" s="11" t="s">
        <v>54</v>
      </c>
      <c r="I36" s="11" t="s">
        <v>55</v>
      </c>
      <c r="J36" s="11" t="s">
        <v>260</v>
      </c>
      <c r="K36" s="11" t="s">
        <v>260</v>
      </c>
      <c r="L36" s="11" t="s">
        <v>274</v>
      </c>
      <c r="M36" s="11" t="s">
        <v>275</v>
      </c>
      <c r="N36" s="1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1" t="s">
        <v>276</v>
      </c>
      <c r="B37" s="11" t="s">
        <v>256</v>
      </c>
      <c r="C37" s="11" t="s">
        <v>277</v>
      </c>
      <c r="D37" s="11" t="s">
        <v>278</v>
      </c>
      <c r="E37" s="11" t="s">
        <v>279</v>
      </c>
      <c r="F37" s="11" t="s">
        <v>53</v>
      </c>
      <c r="G37" s="11" t="s">
        <v>74</v>
      </c>
      <c r="H37" s="11" t="s">
        <v>64</v>
      </c>
      <c r="I37" s="11" t="s">
        <v>55</v>
      </c>
      <c r="J37" s="11" t="s">
        <v>260</v>
      </c>
      <c r="K37" s="11" t="s">
        <v>260</v>
      </c>
      <c r="L37" s="11" t="s">
        <v>280</v>
      </c>
      <c r="M37" s="11" t="s">
        <v>281</v>
      </c>
      <c r="N37" s="1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1" t="s">
        <v>282</v>
      </c>
      <c r="B38" s="11" t="s">
        <v>283</v>
      </c>
      <c r="C38" s="11" t="s">
        <v>284</v>
      </c>
      <c r="D38" s="11" t="s">
        <v>285</v>
      </c>
      <c r="E38" s="11" t="s">
        <v>286</v>
      </c>
      <c r="F38" s="11" t="s">
        <v>73</v>
      </c>
      <c r="G38" s="11" t="s">
        <v>202</v>
      </c>
      <c r="H38" s="11" t="s">
        <v>54</v>
      </c>
      <c r="I38" s="11" t="s">
        <v>55</v>
      </c>
      <c r="J38" s="11" t="s">
        <v>260</v>
      </c>
      <c r="K38" s="11" t="s">
        <v>260</v>
      </c>
      <c r="L38" s="11" t="s">
        <v>287</v>
      </c>
      <c r="M38" s="11" t="s">
        <v>288</v>
      </c>
      <c r="N38" s="1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1" t="s">
        <v>289</v>
      </c>
      <c r="B39" s="11" t="s">
        <v>49</v>
      </c>
      <c r="C39" s="11" t="s">
        <v>290</v>
      </c>
      <c r="D39" s="11" t="s">
        <v>291</v>
      </c>
      <c r="E39" s="11" t="s">
        <v>290</v>
      </c>
      <c r="F39" s="11" t="s">
        <v>53</v>
      </c>
      <c r="G39" s="11" t="s">
        <v>26</v>
      </c>
      <c r="H39" s="11" t="s">
        <v>209</v>
      </c>
      <c r="I39" s="11" t="s">
        <v>55</v>
      </c>
      <c r="J39" s="11" t="s">
        <v>260</v>
      </c>
      <c r="K39" s="11" t="s">
        <v>260</v>
      </c>
      <c r="L39" s="11" t="s">
        <v>292</v>
      </c>
      <c r="M39" s="11" t="s">
        <v>293</v>
      </c>
      <c r="N39" s="1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H2:H200">
    <cfRule type="expression" dxfId="4" priority="1">
      <formula>$H2="Critical"</formula>
    </cfRule>
  </conditionalFormatting>
  <conditionalFormatting sqref="H2:H200">
    <cfRule type="expression" dxfId="5" priority="2">
      <formula>$H2="High"</formula>
    </cfRule>
  </conditionalFormatting>
  <conditionalFormatting sqref="I2:I200">
    <cfRule type="expression" dxfId="6" priority="3">
      <formula>$I2="Completed"</formula>
    </cfRule>
  </conditionalFormatting>
  <conditionalFormatting sqref="I2:I200">
    <cfRule type="expression" dxfId="7" priority="4">
      <formula>$I2="Blocked"</formula>
    </cfRule>
  </conditionalFormatting>
  <conditionalFormatting sqref="I2:I200">
    <cfRule type="expression" dxfId="8" priority="5">
      <formula>$I2="At Risk"</formula>
    </cfRule>
  </conditionalFormatting>
  <dataValidations>
    <dataValidation type="list" allowBlank="1" sqref="I2:I200">
      <formula1>Lists!$A$2:$A$7</formula1>
    </dataValidation>
    <dataValidation type="list" allowBlank="1" sqref="F2:F200">
      <formula1>Lists!$C$2:$C$6</formula1>
    </dataValidation>
    <dataValidation type="list" allowBlank="1" sqref="B2:B200">
      <formula1>Lists!$D$2:$D$8</formula1>
    </dataValidation>
    <dataValidation type="list" allowBlank="1" sqref="H2:H200">
      <formula1>Lists!$B$2:$B$5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24.0"/>
    <col customWidth="1" min="4" max="4" width="50.0"/>
    <col customWidth="1" min="5" max="5" width="28.0"/>
    <col customWidth="1" min="6" max="6" width="38.0"/>
    <col customWidth="1" min="7" max="7" width="34.0"/>
    <col customWidth="1" min="8" max="26" width="8.88"/>
  </cols>
  <sheetData>
    <row r="1" ht="13.5" customHeight="1">
      <c r="A1" s="10" t="s">
        <v>294</v>
      </c>
      <c r="B1" s="10" t="s">
        <v>295</v>
      </c>
      <c r="C1" s="10" t="s">
        <v>296</v>
      </c>
      <c r="D1" s="10" t="s">
        <v>297</v>
      </c>
      <c r="E1" s="10" t="s">
        <v>298</v>
      </c>
      <c r="F1" s="10" t="s">
        <v>299</v>
      </c>
      <c r="G1" s="10" t="s">
        <v>300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301</v>
      </c>
      <c r="B2" s="11" t="s">
        <v>56</v>
      </c>
      <c r="C2" s="11" t="s">
        <v>302</v>
      </c>
      <c r="D2" s="11" t="s">
        <v>303</v>
      </c>
      <c r="E2" s="11" t="s">
        <v>304</v>
      </c>
      <c r="F2" s="11" t="s">
        <v>305</v>
      </c>
      <c r="G2" s="11" t="s">
        <v>306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307</v>
      </c>
      <c r="B3" s="11" t="s">
        <v>81</v>
      </c>
      <c r="C3" s="11" t="s">
        <v>308</v>
      </c>
      <c r="D3" s="11" t="s">
        <v>309</v>
      </c>
      <c r="E3" s="11" t="s">
        <v>310</v>
      </c>
      <c r="F3" s="11" t="s">
        <v>311</v>
      </c>
      <c r="G3" s="11" t="s">
        <v>312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313</v>
      </c>
      <c r="B4" s="11" t="s">
        <v>102</v>
      </c>
      <c r="C4" s="11" t="s">
        <v>314</v>
      </c>
      <c r="D4" s="11" t="s">
        <v>315</v>
      </c>
      <c r="E4" s="11" t="s">
        <v>316</v>
      </c>
      <c r="F4" s="11" t="s">
        <v>317</v>
      </c>
      <c r="G4" s="11" t="s">
        <v>318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319</v>
      </c>
      <c r="B5" s="11" t="s">
        <v>136</v>
      </c>
      <c r="C5" s="11" t="s">
        <v>320</v>
      </c>
      <c r="D5" s="11" t="s">
        <v>321</v>
      </c>
      <c r="E5" s="11" t="s">
        <v>322</v>
      </c>
      <c r="F5" s="11" t="s">
        <v>323</v>
      </c>
      <c r="G5" s="11" t="s">
        <v>324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325</v>
      </c>
      <c r="B6" s="11" t="s">
        <v>159</v>
      </c>
      <c r="C6" s="11" t="s">
        <v>326</v>
      </c>
      <c r="D6" s="11" t="s">
        <v>327</v>
      </c>
      <c r="E6" s="11" t="s">
        <v>328</v>
      </c>
      <c r="F6" s="11" t="s">
        <v>329</v>
      </c>
      <c r="G6" s="11" t="s">
        <v>330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331</v>
      </c>
      <c r="B7" s="11" t="s">
        <v>194</v>
      </c>
      <c r="C7" s="11" t="s">
        <v>332</v>
      </c>
      <c r="D7" s="11" t="s">
        <v>333</v>
      </c>
      <c r="E7" s="11" t="s">
        <v>26</v>
      </c>
      <c r="F7" s="11" t="s">
        <v>334</v>
      </c>
      <c r="G7" s="11" t="s">
        <v>335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336</v>
      </c>
      <c r="B8" s="11" t="s">
        <v>260</v>
      </c>
      <c r="C8" s="11" t="s">
        <v>337</v>
      </c>
      <c r="D8" s="11" t="s">
        <v>338</v>
      </c>
      <c r="E8" s="11" t="s">
        <v>26</v>
      </c>
      <c r="F8" s="11" t="s">
        <v>339</v>
      </c>
      <c r="G8" s="11" t="s">
        <v>292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18.0"/>
    <col customWidth="1" min="3" max="5" width="16.0"/>
    <col customWidth="1" min="6" max="6" width="45.0"/>
    <col customWidth="1" min="7" max="26" width="8.88"/>
  </cols>
  <sheetData>
    <row r="1" ht="13.5" customHeight="1">
      <c r="A1" s="10" t="s">
        <v>340</v>
      </c>
      <c r="B1" s="10" t="s">
        <v>53</v>
      </c>
      <c r="C1" s="10" t="s">
        <v>73</v>
      </c>
      <c r="D1" s="10" t="s">
        <v>74</v>
      </c>
      <c r="E1" s="10" t="s">
        <v>95</v>
      </c>
      <c r="F1" s="10" t="s">
        <v>15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341</v>
      </c>
      <c r="B2" s="11" t="s">
        <v>342</v>
      </c>
      <c r="C2" s="11" t="s">
        <v>343</v>
      </c>
      <c r="D2" s="11" t="s">
        <v>343</v>
      </c>
      <c r="E2" s="11" t="s">
        <v>343</v>
      </c>
      <c r="F2" s="11" t="s">
        <v>344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345</v>
      </c>
      <c r="B3" s="11" t="s">
        <v>346</v>
      </c>
      <c r="C3" s="11" t="s">
        <v>347</v>
      </c>
      <c r="D3" s="11" t="s">
        <v>343</v>
      </c>
      <c r="E3" s="11" t="s">
        <v>346</v>
      </c>
      <c r="F3" s="11" t="s">
        <v>348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349</v>
      </c>
      <c r="B4" s="11" t="s">
        <v>346</v>
      </c>
      <c r="C4" s="11" t="s">
        <v>347</v>
      </c>
      <c r="D4" s="11" t="s">
        <v>343</v>
      </c>
      <c r="E4" s="11" t="s">
        <v>346</v>
      </c>
      <c r="F4" s="11" t="s">
        <v>350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351</v>
      </c>
      <c r="B5" s="11" t="s">
        <v>346</v>
      </c>
      <c r="C5" s="11" t="s">
        <v>343</v>
      </c>
      <c r="D5" s="11" t="s">
        <v>347</v>
      </c>
      <c r="E5" s="11" t="s">
        <v>346</v>
      </c>
      <c r="F5" s="11" t="s">
        <v>352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353</v>
      </c>
      <c r="B6" s="11" t="s">
        <v>346</v>
      </c>
      <c r="C6" s="11" t="s">
        <v>343</v>
      </c>
      <c r="D6" s="11" t="s">
        <v>347</v>
      </c>
      <c r="E6" s="11" t="s">
        <v>346</v>
      </c>
      <c r="F6" s="11" t="s">
        <v>354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355</v>
      </c>
      <c r="B7" s="11" t="s">
        <v>346</v>
      </c>
      <c r="C7" s="11" t="s">
        <v>347</v>
      </c>
      <c r="D7" s="11" t="s">
        <v>343</v>
      </c>
      <c r="E7" s="11" t="s">
        <v>343</v>
      </c>
      <c r="F7" s="11" t="s">
        <v>356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357</v>
      </c>
      <c r="B8" s="11" t="s">
        <v>346</v>
      </c>
      <c r="C8" s="11" t="s">
        <v>343</v>
      </c>
      <c r="D8" s="11" t="s">
        <v>346</v>
      </c>
      <c r="E8" s="11" t="s">
        <v>347</v>
      </c>
      <c r="F8" s="11" t="s">
        <v>358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158</v>
      </c>
      <c r="B9" s="11" t="s">
        <v>346</v>
      </c>
      <c r="C9" s="11" t="s">
        <v>343</v>
      </c>
      <c r="D9" s="11" t="s">
        <v>343</v>
      </c>
      <c r="E9" s="11" t="s">
        <v>347</v>
      </c>
      <c r="F9" s="11" t="s">
        <v>359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" t="s">
        <v>165</v>
      </c>
      <c r="B10" s="11" t="s">
        <v>346</v>
      </c>
      <c r="C10" s="11" t="s">
        <v>343</v>
      </c>
      <c r="D10" s="11" t="s">
        <v>343</v>
      </c>
      <c r="E10" s="11" t="s">
        <v>347</v>
      </c>
      <c r="F10" s="11" t="s">
        <v>360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1" t="s">
        <v>192</v>
      </c>
      <c r="B11" s="11" t="s">
        <v>346</v>
      </c>
      <c r="C11" s="11" t="s">
        <v>343</v>
      </c>
      <c r="D11" s="11" t="s">
        <v>343</v>
      </c>
      <c r="E11" s="11" t="s">
        <v>347</v>
      </c>
      <c r="F11" s="11" t="s">
        <v>361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1" t="s">
        <v>362</v>
      </c>
      <c r="B12" s="11" t="s">
        <v>342</v>
      </c>
      <c r="C12" s="11" t="s">
        <v>363</v>
      </c>
      <c r="D12" s="11" t="s">
        <v>343</v>
      </c>
      <c r="E12" s="11" t="s">
        <v>343</v>
      </c>
      <c r="F12" s="11" t="s">
        <v>364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1" t="s">
        <v>221</v>
      </c>
      <c r="B13" s="11" t="s">
        <v>342</v>
      </c>
      <c r="C13" s="11" t="s">
        <v>343</v>
      </c>
      <c r="D13" s="11" t="s">
        <v>363</v>
      </c>
      <c r="E13" s="11" t="s">
        <v>343</v>
      </c>
      <c r="F13" s="11" t="s">
        <v>365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1" t="s">
        <v>366</v>
      </c>
      <c r="B14" s="11" t="s">
        <v>347</v>
      </c>
      <c r="C14" s="11" t="s">
        <v>343</v>
      </c>
      <c r="D14" s="11" t="s">
        <v>343</v>
      </c>
      <c r="E14" s="11" t="s">
        <v>343</v>
      </c>
      <c r="F14" s="11" t="s">
        <v>367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8.0"/>
    <col customWidth="1" min="3" max="3" width="45.0"/>
    <col customWidth="1" min="4" max="4" width="18.0"/>
    <col customWidth="1" min="5" max="5" width="14.0"/>
    <col customWidth="1" min="6" max="6" width="45.0"/>
    <col customWidth="1" min="7" max="7" width="16.0"/>
    <col customWidth="1" min="8" max="26" width="8.88"/>
  </cols>
  <sheetData>
    <row r="1" ht="13.5" customHeight="1">
      <c r="A1" s="10" t="s">
        <v>368</v>
      </c>
      <c r="B1" s="10" t="s">
        <v>41</v>
      </c>
      <c r="C1" s="10" t="s">
        <v>369</v>
      </c>
      <c r="D1" s="10" t="s">
        <v>13</v>
      </c>
      <c r="E1" s="10" t="s">
        <v>370</v>
      </c>
      <c r="F1" s="10" t="s">
        <v>47</v>
      </c>
      <c r="G1" s="10" t="s">
        <v>14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371</v>
      </c>
      <c r="B2" s="11" t="s">
        <v>372</v>
      </c>
      <c r="C2" s="11" t="s">
        <v>373</v>
      </c>
      <c r="D2" s="11" t="s">
        <v>53</v>
      </c>
      <c r="E2" s="11" t="s">
        <v>56</v>
      </c>
      <c r="F2" s="11" t="s">
        <v>374</v>
      </c>
      <c r="G2" s="11" t="s">
        <v>55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375</v>
      </c>
      <c r="B3" s="11" t="s">
        <v>376</v>
      </c>
      <c r="C3" s="11" t="s">
        <v>377</v>
      </c>
      <c r="D3" s="11" t="s">
        <v>73</v>
      </c>
      <c r="E3" s="11" t="s">
        <v>102</v>
      </c>
      <c r="F3" s="11" t="s">
        <v>378</v>
      </c>
      <c r="G3" s="11" t="s">
        <v>55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379</v>
      </c>
      <c r="B4" s="11" t="s">
        <v>380</v>
      </c>
      <c r="C4" s="11" t="s">
        <v>381</v>
      </c>
      <c r="D4" s="11" t="s">
        <v>73</v>
      </c>
      <c r="E4" s="11" t="s">
        <v>159</v>
      </c>
      <c r="F4" s="11" t="s">
        <v>382</v>
      </c>
      <c r="G4" s="11" t="s">
        <v>55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383</v>
      </c>
      <c r="B5" s="11" t="s">
        <v>384</v>
      </c>
      <c r="C5" s="11" t="s">
        <v>385</v>
      </c>
      <c r="D5" s="11" t="s">
        <v>74</v>
      </c>
      <c r="E5" s="11" t="s">
        <v>194</v>
      </c>
      <c r="F5" s="11" t="s">
        <v>386</v>
      </c>
      <c r="G5" s="11" t="s">
        <v>55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387</v>
      </c>
      <c r="B6" s="11" t="s">
        <v>388</v>
      </c>
      <c r="C6" s="11" t="s">
        <v>389</v>
      </c>
      <c r="D6" s="11" t="s">
        <v>95</v>
      </c>
      <c r="E6" s="11" t="s">
        <v>194</v>
      </c>
      <c r="F6" s="11" t="s">
        <v>390</v>
      </c>
      <c r="G6" s="11" t="s">
        <v>55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391</v>
      </c>
      <c r="B7" s="11" t="s">
        <v>392</v>
      </c>
      <c r="C7" s="11" t="s">
        <v>393</v>
      </c>
      <c r="D7" s="11" t="s">
        <v>73</v>
      </c>
      <c r="E7" s="11" t="s">
        <v>194</v>
      </c>
      <c r="F7" s="11" t="s">
        <v>394</v>
      </c>
      <c r="G7" s="11" t="s">
        <v>55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395</v>
      </c>
      <c r="B8" s="11" t="s">
        <v>396</v>
      </c>
      <c r="C8" s="11" t="s">
        <v>397</v>
      </c>
      <c r="D8" s="11" t="s">
        <v>74</v>
      </c>
      <c r="E8" s="11" t="s">
        <v>260</v>
      </c>
      <c r="F8" s="11" t="s">
        <v>398</v>
      </c>
      <c r="G8" s="11" t="s">
        <v>55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399</v>
      </c>
      <c r="B9" s="11" t="s">
        <v>400</v>
      </c>
      <c r="C9" s="11" t="s">
        <v>401</v>
      </c>
      <c r="D9" s="11" t="s">
        <v>53</v>
      </c>
      <c r="E9" s="11" t="s">
        <v>260</v>
      </c>
      <c r="F9" s="11" t="s">
        <v>402</v>
      </c>
      <c r="G9" s="11" t="s">
        <v>55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G2:G50">
      <formula1>Lists!$A$2:$A$7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3" width="32.0"/>
    <col customWidth="1" min="4" max="5" width="14.0"/>
    <col customWidth="1" min="6" max="6" width="18.0"/>
    <col customWidth="1" min="7" max="7" width="45.0"/>
    <col customWidth="1" min="8" max="8" width="38.0"/>
    <col customWidth="1" min="9" max="9" width="14.0"/>
    <col customWidth="1" min="10" max="26" width="8.88"/>
  </cols>
  <sheetData>
    <row r="1" ht="13.5" customHeight="1">
      <c r="A1" s="12" t="s">
        <v>403</v>
      </c>
      <c r="B1" s="12" t="s">
        <v>404</v>
      </c>
      <c r="C1" s="12" t="s">
        <v>405</v>
      </c>
      <c r="D1" s="12" t="s">
        <v>406</v>
      </c>
      <c r="E1" s="12" t="s">
        <v>407</v>
      </c>
      <c r="F1" s="12" t="s">
        <v>13</v>
      </c>
      <c r="G1" s="12" t="s">
        <v>408</v>
      </c>
      <c r="H1" s="12" t="s">
        <v>409</v>
      </c>
      <c r="I1" s="12" t="s">
        <v>14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410</v>
      </c>
      <c r="B2" s="11" t="s">
        <v>411</v>
      </c>
      <c r="C2" s="11" t="s">
        <v>412</v>
      </c>
      <c r="D2" s="11" t="s">
        <v>209</v>
      </c>
      <c r="E2" s="11" t="s">
        <v>64</v>
      </c>
      <c r="F2" s="11" t="s">
        <v>73</v>
      </c>
      <c r="G2" s="11" t="s">
        <v>413</v>
      </c>
      <c r="H2" s="11" t="s">
        <v>414</v>
      </c>
      <c r="I2" s="11" t="s">
        <v>27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415</v>
      </c>
      <c r="B3" s="11" t="s">
        <v>416</v>
      </c>
      <c r="C3" s="11" t="s">
        <v>417</v>
      </c>
      <c r="D3" s="11" t="s">
        <v>209</v>
      </c>
      <c r="E3" s="11" t="s">
        <v>64</v>
      </c>
      <c r="F3" s="11" t="s">
        <v>74</v>
      </c>
      <c r="G3" s="11" t="s">
        <v>418</v>
      </c>
      <c r="H3" s="11" t="s">
        <v>419</v>
      </c>
      <c r="I3" s="11" t="s">
        <v>27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420</v>
      </c>
      <c r="B4" s="11" t="s">
        <v>421</v>
      </c>
      <c r="C4" s="11" t="s">
        <v>422</v>
      </c>
      <c r="D4" s="11" t="s">
        <v>64</v>
      </c>
      <c r="E4" s="11" t="s">
        <v>209</v>
      </c>
      <c r="F4" s="11" t="s">
        <v>73</v>
      </c>
      <c r="G4" s="11" t="s">
        <v>423</v>
      </c>
      <c r="H4" s="11" t="s">
        <v>424</v>
      </c>
      <c r="I4" s="11" t="s">
        <v>27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425</v>
      </c>
      <c r="B5" s="11" t="s">
        <v>426</v>
      </c>
      <c r="C5" s="11" t="s">
        <v>427</v>
      </c>
      <c r="D5" s="11" t="s">
        <v>209</v>
      </c>
      <c r="E5" s="11" t="s">
        <v>209</v>
      </c>
      <c r="F5" s="11" t="s">
        <v>74</v>
      </c>
      <c r="G5" s="11" t="s">
        <v>428</v>
      </c>
      <c r="H5" s="11" t="s">
        <v>429</v>
      </c>
      <c r="I5" s="11" t="s">
        <v>27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430</v>
      </c>
      <c r="B6" s="11" t="s">
        <v>431</v>
      </c>
      <c r="C6" s="11" t="s">
        <v>432</v>
      </c>
      <c r="D6" s="11" t="s">
        <v>433</v>
      </c>
      <c r="E6" s="11" t="s">
        <v>64</v>
      </c>
      <c r="F6" s="11" t="s">
        <v>74</v>
      </c>
      <c r="G6" s="11" t="s">
        <v>434</v>
      </c>
      <c r="H6" s="11" t="s">
        <v>435</v>
      </c>
      <c r="I6" s="11" t="s">
        <v>27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436</v>
      </c>
      <c r="B7" s="11" t="s">
        <v>437</v>
      </c>
      <c r="C7" s="11" t="s">
        <v>438</v>
      </c>
      <c r="D7" s="11" t="s">
        <v>209</v>
      </c>
      <c r="E7" s="11" t="s">
        <v>209</v>
      </c>
      <c r="F7" s="11" t="s">
        <v>95</v>
      </c>
      <c r="G7" s="11" t="s">
        <v>439</v>
      </c>
      <c r="H7" s="11" t="s">
        <v>440</v>
      </c>
      <c r="I7" s="11" t="s">
        <v>27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441</v>
      </c>
      <c r="B8" s="11" t="s">
        <v>442</v>
      </c>
      <c r="C8" s="11" t="s">
        <v>443</v>
      </c>
      <c r="D8" s="11" t="s">
        <v>209</v>
      </c>
      <c r="E8" s="11" t="s">
        <v>64</v>
      </c>
      <c r="F8" s="11" t="s">
        <v>53</v>
      </c>
      <c r="G8" s="11" t="s">
        <v>444</v>
      </c>
      <c r="H8" s="11" t="s">
        <v>445</v>
      </c>
      <c r="I8" s="11" t="s">
        <v>27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446</v>
      </c>
      <c r="B9" s="11" t="s">
        <v>447</v>
      </c>
      <c r="C9" s="11" t="s">
        <v>448</v>
      </c>
      <c r="D9" s="11" t="s">
        <v>209</v>
      </c>
      <c r="E9" s="11" t="s">
        <v>64</v>
      </c>
      <c r="F9" s="11" t="s">
        <v>53</v>
      </c>
      <c r="G9" s="11" t="s">
        <v>449</v>
      </c>
      <c r="H9" s="11" t="s">
        <v>450</v>
      </c>
      <c r="I9" s="11" t="s">
        <v>27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55.0"/>
    <col customWidth="1" min="3" max="4" width="18.0"/>
    <col customWidth="1" min="5" max="5" width="15.0"/>
    <col customWidth="1" min="6" max="6" width="38.0"/>
    <col customWidth="1" min="7" max="26" width="8.88"/>
  </cols>
  <sheetData>
    <row r="1" ht="13.5" customHeight="1">
      <c r="A1" s="13" t="s">
        <v>451</v>
      </c>
      <c r="B1" s="13" t="s">
        <v>452</v>
      </c>
      <c r="C1" s="13" t="s">
        <v>13</v>
      </c>
      <c r="D1" s="13" t="s">
        <v>453</v>
      </c>
      <c r="E1" s="13" t="s">
        <v>14</v>
      </c>
      <c r="F1" s="13" t="s">
        <v>454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69</v>
      </c>
      <c r="B2" s="11" t="s">
        <v>455</v>
      </c>
      <c r="C2" s="11" t="s">
        <v>73</v>
      </c>
      <c r="D2" s="11" t="s">
        <v>456</v>
      </c>
      <c r="E2" s="11" t="s">
        <v>55</v>
      </c>
      <c r="F2" s="1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69</v>
      </c>
      <c r="B3" s="11" t="s">
        <v>457</v>
      </c>
      <c r="C3" s="11" t="s">
        <v>73</v>
      </c>
      <c r="D3" s="11" t="s">
        <v>456</v>
      </c>
      <c r="E3" s="11" t="s">
        <v>55</v>
      </c>
      <c r="F3" s="1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69</v>
      </c>
      <c r="B4" s="11" t="s">
        <v>458</v>
      </c>
      <c r="C4" s="11" t="s">
        <v>73</v>
      </c>
      <c r="D4" s="11" t="s">
        <v>456</v>
      </c>
      <c r="E4" s="11" t="s">
        <v>55</v>
      </c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84</v>
      </c>
      <c r="B5" s="11" t="s">
        <v>459</v>
      </c>
      <c r="C5" s="11" t="s">
        <v>74</v>
      </c>
      <c r="D5" s="11" t="s">
        <v>456</v>
      </c>
      <c r="E5" s="11" t="s">
        <v>55</v>
      </c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84</v>
      </c>
      <c r="B6" s="11" t="s">
        <v>460</v>
      </c>
      <c r="C6" s="11" t="s">
        <v>74</v>
      </c>
      <c r="D6" s="11" t="s">
        <v>456</v>
      </c>
      <c r="E6" s="11" t="s">
        <v>55</v>
      </c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84</v>
      </c>
      <c r="B7" s="11" t="s">
        <v>461</v>
      </c>
      <c r="C7" s="11" t="s">
        <v>74</v>
      </c>
      <c r="D7" s="11" t="s">
        <v>456</v>
      </c>
      <c r="E7" s="11" t="s">
        <v>55</v>
      </c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84</v>
      </c>
      <c r="B8" s="11" t="s">
        <v>462</v>
      </c>
      <c r="C8" s="11" t="s">
        <v>74</v>
      </c>
      <c r="D8" s="11" t="s">
        <v>456</v>
      </c>
      <c r="E8" s="11" t="s">
        <v>55</v>
      </c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91</v>
      </c>
      <c r="B9" s="11" t="s">
        <v>463</v>
      </c>
      <c r="C9" s="11" t="s">
        <v>95</v>
      </c>
      <c r="D9" s="11" t="s">
        <v>456</v>
      </c>
      <c r="E9" s="11" t="s">
        <v>55</v>
      </c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" t="s">
        <v>91</v>
      </c>
      <c r="B10" s="11" t="s">
        <v>464</v>
      </c>
      <c r="C10" s="11" t="s">
        <v>95</v>
      </c>
      <c r="D10" s="11" t="s">
        <v>456</v>
      </c>
      <c r="E10" s="11" t="s">
        <v>55</v>
      </c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1" t="s">
        <v>91</v>
      </c>
      <c r="B11" s="11" t="s">
        <v>465</v>
      </c>
      <c r="C11" s="11" t="s">
        <v>95</v>
      </c>
      <c r="D11" s="11" t="s">
        <v>456</v>
      </c>
      <c r="E11" s="11" t="s">
        <v>55</v>
      </c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1" t="s">
        <v>91</v>
      </c>
      <c r="B12" s="11" t="s">
        <v>466</v>
      </c>
      <c r="C12" s="11" t="s">
        <v>95</v>
      </c>
      <c r="D12" s="11" t="s">
        <v>456</v>
      </c>
      <c r="E12" s="11" t="s">
        <v>55</v>
      </c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1" t="s">
        <v>198</v>
      </c>
      <c r="B13" s="11" t="s">
        <v>467</v>
      </c>
      <c r="C13" s="11" t="s">
        <v>73</v>
      </c>
      <c r="D13" s="11" t="s">
        <v>456</v>
      </c>
      <c r="E13" s="11" t="s">
        <v>55</v>
      </c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1" t="s">
        <v>218</v>
      </c>
      <c r="B14" s="11" t="s">
        <v>468</v>
      </c>
      <c r="C14" s="11" t="s">
        <v>74</v>
      </c>
      <c r="D14" s="11" t="s">
        <v>456</v>
      </c>
      <c r="E14" s="11" t="s">
        <v>55</v>
      </c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1" t="s">
        <v>469</v>
      </c>
      <c r="B15" s="11" t="s">
        <v>470</v>
      </c>
      <c r="C15" s="11" t="s">
        <v>53</v>
      </c>
      <c r="D15" s="11" t="s">
        <v>456</v>
      </c>
      <c r="E15" s="11" t="s">
        <v>55</v>
      </c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E2:E100">
      <formula1>Lists!$A$2:$A$7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34.0"/>
    <col customWidth="1" min="4" max="4" width="36.0"/>
    <col customWidth="1" min="5" max="5" width="34.0"/>
    <col customWidth="1" min="6" max="6" width="30.0"/>
    <col customWidth="1" min="7" max="7" width="18.0"/>
    <col customWidth="1" min="8" max="26" width="8.88"/>
  </cols>
  <sheetData>
    <row r="1" ht="13.5" customHeight="1">
      <c r="A1" s="14" t="s">
        <v>471</v>
      </c>
      <c r="B1" s="14" t="s">
        <v>472</v>
      </c>
      <c r="C1" s="14" t="s">
        <v>473</v>
      </c>
      <c r="D1" s="14" t="s">
        <v>474</v>
      </c>
      <c r="E1" s="14" t="s">
        <v>475</v>
      </c>
      <c r="F1" s="14" t="s">
        <v>476</v>
      </c>
      <c r="G1" s="14" t="s">
        <v>477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" t="s">
        <v>478</v>
      </c>
      <c r="B2" s="11" t="s">
        <v>165</v>
      </c>
      <c r="C2" s="11" t="s">
        <v>479</v>
      </c>
      <c r="D2" s="11" t="s">
        <v>480</v>
      </c>
      <c r="E2" s="11" t="s">
        <v>481</v>
      </c>
      <c r="F2" s="11" t="s">
        <v>482</v>
      </c>
      <c r="G2" s="11" t="s">
        <v>74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" t="s">
        <v>483</v>
      </c>
      <c r="B3" s="11" t="s">
        <v>484</v>
      </c>
      <c r="C3" s="11" t="s">
        <v>485</v>
      </c>
      <c r="D3" s="11" t="s">
        <v>486</v>
      </c>
      <c r="E3" s="11" t="s">
        <v>481</v>
      </c>
      <c r="F3" s="11" t="s">
        <v>487</v>
      </c>
      <c r="G3" s="11" t="s">
        <v>74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488</v>
      </c>
      <c r="B4" s="11" t="s">
        <v>489</v>
      </c>
      <c r="C4" s="11" t="s">
        <v>490</v>
      </c>
      <c r="D4" s="11" t="s">
        <v>491</v>
      </c>
      <c r="E4" s="11" t="s">
        <v>481</v>
      </c>
      <c r="F4" s="11" t="s">
        <v>492</v>
      </c>
      <c r="G4" s="11" t="s">
        <v>74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493</v>
      </c>
      <c r="B5" s="11" t="s">
        <v>494</v>
      </c>
      <c r="C5" s="11" t="s">
        <v>495</v>
      </c>
      <c r="D5" s="11" t="s">
        <v>496</v>
      </c>
      <c r="E5" s="11" t="s">
        <v>497</v>
      </c>
      <c r="F5" s="11" t="s">
        <v>498</v>
      </c>
      <c r="G5" s="11" t="s">
        <v>74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 t="s">
        <v>499</v>
      </c>
      <c r="B6" s="11" t="s">
        <v>188</v>
      </c>
      <c r="C6" s="11" t="s">
        <v>500</v>
      </c>
      <c r="D6" s="11" t="s">
        <v>501</v>
      </c>
      <c r="E6" s="11" t="s">
        <v>502</v>
      </c>
      <c r="F6" s="11" t="s">
        <v>503</v>
      </c>
      <c r="G6" s="11" t="s">
        <v>74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504</v>
      </c>
      <c r="B7" s="11" t="s">
        <v>505</v>
      </c>
      <c r="C7" s="11" t="s">
        <v>506</v>
      </c>
      <c r="D7" s="11" t="s">
        <v>507</v>
      </c>
      <c r="E7" s="11" t="s">
        <v>508</v>
      </c>
      <c r="F7" s="11" t="s">
        <v>509</v>
      </c>
      <c r="G7" s="11" t="s">
        <v>74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510</v>
      </c>
      <c r="B8" s="11" t="s">
        <v>511</v>
      </c>
      <c r="C8" s="11" t="s">
        <v>512</v>
      </c>
      <c r="D8" s="11" t="s">
        <v>513</v>
      </c>
      <c r="E8" s="11" t="s">
        <v>514</v>
      </c>
      <c r="F8" s="11" t="s">
        <v>515</v>
      </c>
      <c r="G8" s="11" t="s">
        <v>74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516</v>
      </c>
      <c r="B9" s="11" t="s">
        <v>517</v>
      </c>
      <c r="C9" s="11" t="s">
        <v>518</v>
      </c>
      <c r="D9" s="11" t="s">
        <v>519</v>
      </c>
      <c r="E9" s="11" t="s">
        <v>520</v>
      </c>
      <c r="F9" s="11" t="s">
        <v>521</v>
      </c>
      <c r="G9" s="11" t="s">
        <v>74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" t="s">
        <v>522</v>
      </c>
      <c r="B10" s="11" t="s">
        <v>523</v>
      </c>
      <c r="C10" s="11" t="s">
        <v>524</v>
      </c>
      <c r="D10" s="11" t="s">
        <v>525</v>
      </c>
      <c r="E10" s="11" t="s">
        <v>526</v>
      </c>
      <c r="F10" s="11" t="s">
        <v>527</v>
      </c>
      <c r="G10" s="11" t="s">
        <v>74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8.0"/>
    <col customWidth="1" min="6" max="26" width="8.88"/>
  </cols>
  <sheetData>
    <row r="1" ht="13.5" customHeight="1">
      <c r="A1" s="15" t="s">
        <v>14</v>
      </c>
      <c r="B1" s="15" t="s">
        <v>43</v>
      </c>
      <c r="C1" s="15" t="s">
        <v>13</v>
      </c>
      <c r="D1" s="15" t="s">
        <v>38</v>
      </c>
      <c r="E1" s="15" t="s">
        <v>528</v>
      </c>
    </row>
    <row r="2" ht="13.5" customHeight="1">
      <c r="A2" s="16" t="s">
        <v>55</v>
      </c>
      <c r="B2" s="16" t="s">
        <v>54</v>
      </c>
      <c r="C2" s="16" t="s">
        <v>53</v>
      </c>
      <c r="D2" s="16" t="s">
        <v>69</v>
      </c>
      <c r="E2" s="16" t="s">
        <v>363</v>
      </c>
    </row>
    <row r="3" ht="13.5" customHeight="1">
      <c r="A3" s="16" t="s">
        <v>529</v>
      </c>
      <c r="B3" s="16" t="s">
        <v>64</v>
      </c>
      <c r="C3" s="16" t="s">
        <v>73</v>
      </c>
      <c r="D3" s="16" t="s">
        <v>84</v>
      </c>
      <c r="E3" s="16" t="s">
        <v>342</v>
      </c>
    </row>
    <row r="4" ht="13.5" customHeight="1">
      <c r="A4" s="16" t="s">
        <v>530</v>
      </c>
      <c r="B4" s="16" t="s">
        <v>209</v>
      </c>
      <c r="C4" s="16" t="s">
        <v>74</v>
      </c>
      <c r="D4" s="16" t="s">
        <v>91</v>
      </c>
      <c r="E4" s="16" t="s">
        <v>343</v>
      </c>
    </row>
    <row r="5" ht="13.5" customHeight="1">
      <c r="A5" s="16" t="s">
        <v>531</v>
      </c>
      <c r="B5" s="16" t="s">
        <v>433</v>
      </c>
      <c r="C5" s="16" t="s">
        <v>95</v>
      </c>
      <c r="D5" s="16" t="s">
        <v>230</v>
      </c>
      <c r="E5" s="16" t="s">
        <v>346</v>
      </c>
    </row>
    <row r="6" ht="13.5" customHeight="1">
      <c r="A6" s="16" t="s">
        <v>532</v>
      </c>
      <c r="C6" s="16" t="s">
        <v>26</v>
      </c>
      <c r="D6" s="16" t="s">
        <v>218</v>
      </c>
    </row>
    <row r="7" ht="13.5" customHeight="1">
      <c r="A7" s="16" t="s">
        <v>533</v>
      </c>
      <c r="D7" s="16" t="s">
        <v>256</v>
      </c>
    </row>
    <row r="8" ht="13.5" customHeight="1">
      <c r="D8" s="16" t="s">
        <v>49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2026-07-07T10:44:11Z</dcterms:created>
</cp:coreProperties>
</file>