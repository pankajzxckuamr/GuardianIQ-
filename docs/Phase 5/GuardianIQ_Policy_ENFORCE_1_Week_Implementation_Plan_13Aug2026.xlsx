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aac769765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151492195e44798"/>
    <x:sheet xmlns:r="http://schemas.openxmlformats.org/officeDocument/2006/relationships" name="Detailed Plan" sheetId="2" r:id="Ra7f07085458d427a"/>
    <x:sheet xmlns:r="http://schemas.openxmlformats.org/officeDocument/2006/relationships" name="Daily Sprint" sheetId="3" r:id="R657d81c53e5f4879"/>
    <x:sheet xmlns:r="http://schemas.openxmlformats.org/officeDocument/2006/relationships" name="Resource Load" sheetId="4" r:id="R755bf812aa234a2d"/>
    <x:sheet xmlns:r="http://schemas.openxmlformats.org/officeDocument/2006/relationships" name="Deliverables" sheetId="5" r:id="R6a0e3613119e4923"/>
    <x:sheet xmlns:r="http://schemas.openxmlformats.org/officeDocument/2006/relationships" name="RACI" sheetId="6" r:id="Rea9d6cda174546c1"/>
    <x:sheet xmlns:r="http://schemas.openxmlformats.org/officeDocument/2006/relationships" name="QA &amp; Acceptance" sheetId="7" r:id="R40b48437949d43bf"/>
    <x:sheet xmlns:r="http://schemas.openxmlformats.org/officeDocument/2006/relationships" name="Risks &amp; Dependencies" sheetId="8" r:id="R45a1a15eb652410f"/>
    <x:sheet xmlns:r="http://schemas.openxmlformats.org/officeDocument/2006/relationships" name="Handover Checklist" sheetId="9" r:id="R484dd8f8d8dc4989"/>
    <x:sheet xmlns:r="http://schemas.openxmlformats.org/officeDocument/2006/relationships" name="Lists" sheetId="10" r:id="Rae270fd43ca5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8761D"/>
      </x:patternFill>
    </x:fill>
    <x:fill>
      <x:patternFill patternType="solid">
        <x:fgColor rgb="FF1F4E78"/>
      </x:patternFill>
    </x:fill>
    <x:fill>
      <x:patternFill patternType="solid">
        <x:fgColor rgb="FF674EA7"/>
      </x:patternFill>
    </x:fill>
    <x:fill>
      <x:patternFill patternType="solid">
        <x:fgColor rgb="FF0F6B78"/>
      </x:patternFill>
    </x:fill>
    <x:fill>
      <x:patternFill patternType="solid">
        <x:fgColor rgb="FF7F6000"/>
      </x:patternFill>
    </x:fill>
    <x:fill>
      <x:patternFill patternType="solid">
        <x:fgColor rgb="FF990000"/>
      </x:patternFill>
    </x:fill>
    <x:fill>
      <x:patternFill patternType="solid">
        <x:fgColor rgb="FF134F5C"/>
      </x:patternFill>
    </x:fill>
    <x:fill>
      <x:patternFill patternType="solid">
        <x:fgColor rgb="FF10213D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1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4bb7e7572453f" /><Relationship Type="http://schemas.openxmlformats.org/officeDocument/2006/relationships/theme" Target="/xl/theme/theme1.xml" Id="Rddd84c6a23764b0a" /><Relationship Type="http://schemas.openxmlformats.org/officeDocument/2006/relationships/sharedStrings" Target="/xl/sharedStrings.xml" Id="R36335f9e4aaf4134" /><Relationship Type="http://schemas.openxmlformats.org/officeDocument/2006/relationships/worksheet" Target="/xl/worksheets/sheet1.xml" Id="Rf151492195e44798" /><Relationship Type="http://schemas.openxmlformats.org/officeDocument/2006/relationships/worksheet" Target="/xl/worksheets/sheet2.xml" Id="Ra7f07085458d427a" /><Relationship Type="http://schemas.openxmlformats.org/officeDocument/2006/relationships/worksheet" Target="/xl/worksheets/sheet3.xml" Id="R657d81c53e5f4879" /><Relationship Type="http://schemas.openxmlformats.org/officeDocument/2006/relationships/worksheet" Target="/xl/worksheets/sheet4.xml" Id="R755bf812aa234a2d" /><Relationship Type="http://schemas.openxmlformats.org/officeDocument/2006/relationships/worksheet" Target="/xl/worksheets/sheet5.xml" Id="R6a0e3613119e4923" /><Relationship Type="http://schemas.openxmlformats.org/officeDocument/2006/relationships/worksheet" Target="/xl/worksheets/sheet6.xml" Id="Rea9d6cda174546c1" /><Relationship Type="http://schemas.openxmlformats.org/officeDocument/2006/relationships/worksheet" Target="/xl/worksheets/sheet7.xml" Id="R40b48437949d43bf" /><Relationship Type="http://schemas.openxmlformats.org/officeDocument/2006/relationships/worksheet" Target="/xl/worksheets/sheet8.xml" Id="R45a1a15eb652410f" /><Relationship Type="http://schemas.openxmlformats.org/officeDocument/2006/relationships/worksheet" Target="/xl/worksheets/sheet9.xml" Id="R484dd8f8d8dc4989" /><Relationship Type="http://schemas.openxmlformats.org/officeDocument/2006/relationships/worksheet" Target="/xl/worksheets/sheet10.xml" Id="Rae270fd43ca5462e" /></Relationships>
</file>

<file path=xl/tables/table1.xml><?xml version="1.0" encoding="utf-8"?>
<x:table xmlns:x="http://schemas.openxmlformats.org/spreadsheetml/2006/main" id="1" name="ImplementationPlanTable" displayName="ImplementationPlanTable" ref="A1:P32" headerRowCount="1" totalsRowCount="0" totalsRowShown="0">
  <x:tableColumns count="16">
    <x:tableColumn id="1" name="WBS"/>
    <x:tableColumn id="2" name="Day"/>
    <x:tableColumn id="3" name="Workstream"/>
    <x:tableColumn id="4" name="Activity"/>
    <x:tableColumn id="5" name="Detailed Implementation Steps"/>
    <x:tableColumn id="6" name="Primary Owner"/>
    <x:tableColumn id="7" name="Support"/>
    <x:tableColumn id="8" name="Est. Hrs"/>
    <x:tableColumn id="9" name="Start Date"/>
    <x:tableColumn id="10" name="End Date"/>
    <x:tableColumn id="11" name="Dependency"/>
    <x:tableColumn id="12" name="Deliverable / Output"/>
    <x:tableColumn id="13" name="Acceptance Criteria"/>
    <x:tableColumn id="14" name="Priority"/>
    <x:tableColumn id="15" name="Status"/>
    <x:tableColumn id="16" name="Jitendra Checkpoi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printTable" displayName="DailySprintTable" ref="A1:H8" headerRowCount="1" totalsRowCount="0" totalsRowShown="0">
  <x:tableColumns count="8">
    <x:tableColumn id="1" name="Day"/>
    <x:tableColumn id="2" name="Date"/>
    <x:tableColumn id="3" name="Primary Theme"/>
    <x:tableColumn id="4" name="Aayush Focus"/>
    <x:tableColumn id="5" name="Pankaj Focus"/>
    <x:tableColumn id="6" name="Jitendra Management Gate"/>
    <x:tableColumn id="7" name="Expected EOD Output"/>
    <x:tableColumn id="8" name="Exit G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ourceLoadTable" displayName="ResourceLoadTable" ref="A1:H4" headerRowCount="1" totalsRowCount="0" totalsRowShown="0">
  <x:tableColumns count="8">
    <x:tableColumn id="1" name="Resource"/>
    <x:tableColumn id="2" name="Role in Sprint"/>
    <x:tableColumn id="3" name="Primary Areas"/>
    <x:tableColumn id="4" name="Planned Hours"/>
    <x:tableColumn id="5" name="Critical Deliverables"/>
    <x:tableColumn id="6" name="Day 1-3"/>
    <x:tableColumn id="7" name="Day 4-5"/>
    <x:tableColumn id="8" name="Day 6-7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liverablesTable" displayName="DeliverablesTable" ref="A1:H11" headerRowCount="1" totalsRowCount="0" totalsRowShown="0">
  <x:tableColumns count="8">
    <x:tableColumn id="1" name="ID"/>
    <x:tableColumn id="2" name="Deliverable"/>
    <x:tableColumn id="3" name="Owner"/>
    <x:tableColumn id="4" name="Due"/>
    <x:tableColumn id="5" name="Depends On"/>
    <x:tableColumn id="6" name="Acceptance Gate"/>
    <x:tableColumn id="7" name="Status"/>
    <x:tableColumn id="8" name="Jitendra Sign-of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CITable" displayName="RACITable" ref="A1:F12" headerRowCount="1" totalsRowCount="0" totalsRowShown="0">
  <x:tableColumns count="6">
    <x:tableColumn id="1" name="Work Package"/>
    <x:tableColumn id="2" name="Jitendra"/>
    <x:tableColumn id="3" name="Aayush"/>
    <x:tableColumn id="4" name="Pankaj"/>
    <x:tableColumn id="5" name="Final Accountable"/>
    <x:tableColumn id="6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ATable" displayName="QATable" ref="A1:H23" headerRowCount="1" totalsRowCount="0" totalsRowShown="0">
  <x:tableColumns count="8">
    <x:tableColumn id="1" name="Test ID"/>
    <x:tableColumn id="2" name="Area"/>
    <x:tableColumn id="3" name="Scenario"/>
    <x:tableColumn id="4" name="Expected Result"/>
    <x:tableColumn id="5" name="Owner"/>
    <x:tableColumn id="6" name="Run Day"/>
    <x:tableColumn id="7" name="Status"/>
    <x:tableColumn id="8" name="Evidence / Defe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iskDependencyTable" displayName="RiskDependencyTable" ref="A1:I10" headerRowCount="1" totalsRowCount="0" totalsRowShown="0">
  <x:tableColumns count="9">
    <x:tableColumn id="1" name="ID"/>
    <x:tableColumn id="2" name="Type"/>
    <x:tableColumn id="3" name="Risk / Dependency"/>
    <x:tableColumn id="4" name="Impact"/>
    <x:tableColumn id="5" name="Owner"/>
    <x:tableColumn id="6" name="Required By"/>
    <x:tableColumn id="7" name="Mitigation / Decision"/>
    <x:tableColumn id="8" name="Status"/>
    <x:tableColumn id="9" name="Jitendra 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ndoverTable" displayName="HandoverTable" ref="A1:F16" headerRowCount="1" totalsRowCount="0" totalsRowShown="0">
  <x:tableColumns count="6">
    <x:tableColumn id="1" name="#"/>
    <x:tableColumn id="2" name="Handover Artifact"/>
    <x:tableColumn id="3" name="Owner"/>
    <x:tableColumn id="4" name="Required"/>
    <x:tableColumn id="5" name="Status"/>
    <x:tableColumn id="6" name="Location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195cdab64243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014b8d886541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5c985b261445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b35c9999ac45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3e98bc169e4b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ac9b42121c43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71ac4159b842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2b1482f2e94b2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3" max="3" width="18" hidden="0" customWidth="1"/>
    <x:col min="4" max="4" width="20" hidden="0" customWidth="1"/>
    <x:col min="5" max="5" width="18" hidden="0" customWidth="1"/>
    <x:col min="6" max="6" width="40" hidden="0" customWidth="1"/>
    <x:col min="7" max="7" width="16" hidden="0" customWidth="1"/>
    <x:col min="8" max="8" width="26" hidden="0" customWidth="1"/>
  </x:cols>
  <x:sheetData>
    <x:row r="1">
      <x:c r="A1" s="90" t="str">
        <x:v>GuardianIQ — Policy + ENFORCE Layer | 1-Week Implementation Plan</x:v>
      </x:c>
      <x:c r="B1" s="90"/>
      <x:c r="C1" s="90"/>
      <x:c r="D1" s="90"/>
      <x:c r="E1" s="90"/>
      <x:c r="F1" s="90"/>
      <x:c r="G1" s="90"/>
      <x:c r="H1" s="90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2" t="str">
        <x:v>Window</x:v>
      </x:c>
      <x:c r="B2" s="92" t="str">
        <x:v>13-Aug-2026 to 19-Aug-2026</x:v>
      </x:c>
      <x:c r="C2" s="92" t="str">
        <x:v>Developers</x:v>
      </x:c>
      <x:c r="D2" s="92" t="str">
        <x:v>Aayush + Pankaj</x:v>
      </x:c>
      <x:c r="E2" s="92" t="str">
        <x:v>Managed by</x:v>
      </x:c>
      <x:c r="F2" s="92" t="str">
        <x:v>Jitendra</x:v>
      </x:c>
      <x:c r="G2" s="92" t="str">
        <x:v>Objective</x:v>
      </x:c>
      <x:c r="H2" s="92" t="str">
        <x:v>Working MVP + QA evidence + handover</x:v>
      </x:c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/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3" t="str">
        <x:v>KPI</x:v>
      </x:c>
      <x:c r="B4" s="93" t="str">
        <x:v>Value</x:v>
      </x:c>
      <x:c r="C4" s="93" t="str">
        <x:v>Target</x:v>
      </x:c>
      <x:c r="D4" s="93" t="str">
        <x:v>Owner</x:v>
      </x:c>
      <x:c r="E4" s="93" t="str">
        <x:v>Gate</x:v>
      </x:c>
      <x:c r="F4" s="93" t="str">
        <x:v>Formula/Definition</x:v>
      </x:c>
      <x:c r="G4" s="93" t="str">
        <x:v>Status</x:v>
      </x:c>
      <x:c r="H4" s="93" t="str">
        <x:v>Notes</x:v>
      </x:c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4" t="str">
        <x:v>Total Detailed Activities</x:v>
      </x:c>
      <x:c r="B5" s="94" t="n">
        <x:f>COUNTA('Detailed Plan'!A2:A200)</x:f>
        <x:v>31</x:v>
      </x:c>
      <x:c r="C5" s="94" t="str">
        <x:v>&gt;= 30</x:v>
      </x:c>
      <x:c r="D5" s="94" t="str">
        <x:v>Jitendra</x:v>
      </x:c>
      <x:c r="E5" s="94" t="str">
        <x:v>Tracked</x:v>
      </x:c>
      <x:c r="F5" s="94" t="str">
        <x:v>All implementation + QA + handover tasks</x:v>
      </x:c>
      <x:c r="G5" s="94" t="str">
        <x:v>Open</x:v>
      </x:c>
      <x:c r="H5" s="94" t="str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4" t="str">
        <x:v>Critical Activities</x:v>
      </x:c>
      <x:c r="B6" s="94" t="n">
        <x:f>COUNTIF('Detailed Plan'!N2:N200,"Critical")</x:f>
        <x:v>23</x:v>
      </x:c>
      <x:c r="C6" s="94" t="str">
        <x:v>100% complete</x:v>
      </x:c>
      <x:c r="D6" s="94" t="str">
        <x:v>Jitendra</x:v>
      </x:c>
      <x:c r="E6" s="94" t="str">
        <x:v>Go/No-Go</x:v>
      </x:c>
      <x:c r="F6" s="94" t="str">
        <x:v>No Critical item deferred without approval</x:v>
      </x:c>
      <x:c r="G6" s="94" t="str">
        <x:v>Open</x:v>
      </x:c>
      <x:c r="H6" s="94" t="str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4" t="str">
        <x:v>Completed Activities</x:v>
      </x:c>
      <x:c r="B7" s="94" t="n">
        <x:f>COUNTIF('Detailed Plan'!O2:O200,"Completed")</x:f>
        <x:v>0</x:v>
      </x:c>
      <x:c r="C7" s="94" t="str">
        <x:v>100%</x:v>
      </x:c>
      <x:c r="D7" s="94" t="str">
        <x:v>Aayush + Pankaj</x:v>
      </x:c>
      <x:c r="E7" s="94" t="str">
        <x:v>Daily</x:v>
      </x:c>
      <x:c r="F7" s="94" t="str">
        <x:v>Updated by owners</x:v>
      </x:c>
      <x:c r="G7" s="94" t="str">
        <x:v>Open</x:v>
      </x:c>
      <x:c r="H7" s="94" t="str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4" t="str">
        <x:v>Blocked Activities</x:v>
      </x:c>
      <x:c r="B8" s="94" t="n">
        <x:f>COUNTIF('Detailed Plan'!O2:O200,"Blocked")</x:f>
        <x:v>0</x:v>
      </x:c>
      <x:c r="C8" s="94" t="str">
        <x:v>0</x:v>
      </x:c>
      <x:c r="D8" s="94" t="str">
        <x:v>Jitendra</x:v>
      </x:c>
      <x:c r="E8" s="94" t="str">
        <x:v>Daily</x:v>
      </x:c>
      <x:c r="F8" s="94" t="str">
        <x:v>Escalate same day</x:v>
      </x:c>
      <x:c r="G8" s="94" t="str">
        <x:v>Open</x:v>
      </x:c>
      <x:c r="H8" s="94" t="str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4" t="str">
        <x:v>QA Tests</x:v>
      </x:c>
      <x:c r="B9" s="94" t="n">
        <x:f>COUNTA('QA &amp; Acceptance'!A2:A100)</x:f>
        <x:v>22</x:v>
      </x:c>
      <x:c r="C9" s="94" t="str">
        <x:v>&gt;= 20</x:v>
      </x:c>
      <x:c r="D9" s="94" t="str">
        <x:v>Pankaj</x:v>
      </x:c>
      <x:c r="E9" s="94" t="str">
        <x:v>Day 7</x:v>
      </x:c>
      <x:c r="F9" s="94" t="str">
        <x:v>Critical/negative/security coverage</x:v>
      </x:c>
      <x:c r="G9" s="94" t="str">
        <x:v>Open</x:v>
      </x:c>
      <x:c r="H9" s="94" t="str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4" t="str">
        <x:v>QA Passed</x:v>
      </x:c>
      <x:c r="B10" s="94" t="n">
        <x:f>COUNTIF('QA &amp; Acceptance'!G2:G100,"Pass")</x:f>
        <x:v>0</x:v>
      </x:c>
      <x:c r="C10" s="94" t="str">
        <x:v>All Critical</x:v>
      </x:c>
      <x:c r="D10" s="94" t="str">
        <x:v>Pankaj</x:v>
      </x:c>
      <x:c r="E10" s="94" t="str">
        <x:v>Go/No-Go</x:v>
      </x:c>
      <x:c r="F10" s="94" t="str">
        <x:v>No failed Critical test</x:v>
      </x:c>
      <x:c r="G10" s="94" t="str">
        <x:v>Open</x:v>
      </x:c>
      <x:c r="H10" s="94" t="str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4" t="str">
        <x:v>Key Deliverables</x:v>
      </x:c>
      <x:c r="B11" s="94" t="n">
        <x:f>COUNTA(Deliverables!A2:A100)</x:f>
        <x:v>10</x:v>
      </x:c>
      <x:c r="C11" s="94" t="str">
        <x:v>10</x:v>
      </x:c>
      <x:c r="D11" s="94" t="str">
        <x:v>Jitendra</x:v>
      </x:c>
      <x:c r="E11" s="94" t="str">
        <x:v>Day 7</x:v>
      </x:c>
      <x:c r="F11" s="94" t="str">
        <x:v>D1-D10</x:v>
      </x:c>
      <x:c r="G11" s="94" t="str">
        <x:v>Open</x:v>
      </x:c>
      <x:c r="H11" s="94" t="str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4" t="str">
        <x:v>Release Candidate</x:v>
      </x:c>
      <x:c r="B12" s="94" t="str">
        <x:v>Policy + Enforcement MVP</x:v>
      </x:c>
      <x:c r="C12" s="94" t="str">
        <x:v>Day 7</x:v>
      </x:c>
      <x:c r="D12" s="94" t="str">
        <x:v>Jitendra</x:v>
      </x:c>
      <x:c r="E12" s="94" t="str">
        <x:v>Final</x:v>
      </x:c>
      <x:c r="F12" s="94" t="str">
        <x:v>UAT + handover complete</x:v>
      </x:c>
      <x:c r="G12" s="94" t="str">
        <x:v>Planned</x:v>
      </x:c>
      <x:c r="H12" s="94" t="str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5" t="str">
        <x:v>Resource</x:v>
      </x:c>
      <x:c r="B14" s="95" t="str">
        <x:v>Primary Accountability</x:v>
      </x:c>
      <x:c r="C14" s="95" t="str">
        <x:v>Planned Sprint Load</x:v>
      </x:c>
      <x:c r="D14" s="95" t="str">
        <x:v>Daily PM Expectation</x:v>
      </x:c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4" t="str">
        <x:v>Aayush</x:v>
      </x:c>
      <x:c r="B15" s="94" t="str">
        <x:v>DB + hard enforcement + integration + frontend MVP + handover</x:v>
      </x:c>
      <x:c r="C15" s="94" t="str">
        <x:v>~52.5 hrs</x:v>
      </x:c>
      <x:c r="D15" s="94" t="str">
        <x:v>Daily EOD demo / committed artifacts</x:v>
      </x:c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4" t="str">
        <x:v>Pankaj</x:v>
      </x:c>
      <x:c r="B16" s="94" t="str">
        <x:v>Policy engine + gateway + authorization + QA/security</x:v>
      </x:c>
      <x:c r="C16" s="94" t="str">
        <x:v>~52.5 hrs</x:v>
      </x:c>
      <x:c r="D16" s="94" t="str">
        <x:v>Daily code/test evidence</x:v>
      </x:c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4" t="str">
        <x:v>Jitendra</x:v>
      </x:c>
      <x:c r="B17" s="94" t="str">
        <x:v>Scope/dependencies/defects/UAT/sign-off</x:v>
      </x:c>
      <x:c r="C17" s="94" t="str">
        <x:v>~14 hrs management</x:v>
      </x:c>
      <x:c r="D17" s="94" t="str">
        <x:v>2 checkpoints/day + blocker removal</x:v>
      </x:c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19" hidden="0" customWidth="1"/>
    <x:col min="4" max="4" width="30" hidden="0" customWidth="1"/>
    <x:col min="5" max="5" width="55" hidden="0" customWidth="1"/>
    <x:col min="6" max="6" width="18" hidden="0" customWidth="1"/>
    <x:col min="7" max="7" width="18" hidden="0" customWidth="1"/>
    <x:col min="8" max="8" width="10" hidden="0" customWidth="1"/>
    <x:col min="9" max="9" width="14" hidden="0" customWidth="1"/>
    <x:col min="10" max="10" width="14" hidden="0" customWidth="1"/>
    <x:col min="11" max="11" width="30" hidden="0" customWidth="1"/>
    <x:col min="12" max="12" width="30" hidden="0" customWidth="1"/>
    <x:col min="13" max="13" width="42" hidden="0" customWidth="1"/>
    <x:col min="14" max="14" width="12" hidden="0" customWidth="1"/>
    <x:col min="15" max="15" width="16" hidden="0" customWidth="1"/>
    <x:col min="16" max="16" width="30" hidden="0" customWidth="1"/>
  </x:cols>
  <x:sheetData>
    <x:row r="1">
      <x:c r="A1" s="93" t="str">
        <x:v>WBS</x:v>
      </x:c>
      <x:c r="B1" s="93" t="str">
        <x:v>Day</x:v>
      </x:c>
      <x:c r="C1" s="93" t="str">
        <x:v>Workstream</x:v>
      </x:c>
      <x:c r="D1" s="93" t="str">
        <x:v>Activity</x:v>
      </x:c>
      <x:c r="E1" s="93" t="str">
        <x:v>Detailed Implementation Steps</x:v>
      </x:c>
      <x:c r="F1" s="93" t="str">
        <x:v>Primary Owner</x:v>
      </x:c>
      <x:c r="G1" s="93" t="str">
        <x:v>Support</x:v>
      </x:c>
      <x:c r="H1" s="93" t="str">
        <x:v>Est. Hrs</x:v>
      </x:c>
      <x:c r="I1" s="93" t="str">
        <x:v>Start Date</x:v>
      </x:c>
      <x:c r="J1" s="93" t="str">
        <x:v>End Date</x:v>
      </x:c>
      <x:c r="K1" s="93" t="str">
        <x:v>Dependency</x:v>
      </x:c>
      <x:c r="L1" s="93" t="str">
        <x:v>Deliverable / Output</x:v>
      </x:c>
      <x:c r="M1" s="93" t="str">
        <x:v>Acceptance Criteria</x:v>
      </x:c>
      <x:c r="N1" s="93" t="str">
        <x:v>Priority</x:v>
      </x:c>
      <x:c r="O1" s="93" t="str">
        <x:v>Status</x:v>
      </x:c>
      <x:c r="P1" s="93" t="str">
        <x:v>Jitendra Checkpoint</x:v>
      </x:c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str">
        <x:v>1.1</x:v>
      </x:c>
      <x:c r="B2" s="91" t="str">
        <x:v>Day 1</x:v>
      </x:c>
      <x:c r="C2" s="91" t="str">
        <x:v>Project Management</x:v>
      </x:c>
      <x:c r="D2" s="91" t="str">
        <x:v>Kickoff and implementation scope freeze</x:v>
      </x:c>
      <x:c r="E2" s="91" t="str">
        <x:v>Walk through both developer specs; freeze one-week MVP scope; confirm no feature expansion; confirm branches, DB environment, API naming, event catalogue, approval dependency, Definition of Done.</x:v>
      </x:c>
      <x:c r="F2" s="91" t="str">
        <x:v>Jitendra</x:v>
      </x:c>
      <x:c r="G2" s="91" t="str">
        <x:v>Aayush + Pankaj</x:v>
      </x:c>
      <x:c r="H2" s="91" t="n">
        <x:v>1</x:v>
      </x:c>
      <x:c r="I2" s="91" t="str">
        <x:v>13-Aug-2026</x:v>
      </x:c>
      <x:c r="J2" s="91" t="str">
        <x:v>13-Aug-2026</x:v>
      </x:c>
      <x:c r="K2" s="91" t="str">
        <x:v>Developer specs handed over</x:v>
      </x:c>
      <x:c r="L2" s="91" t="str">
        <x:v>Signed sprint scope + decision log</x:v>
      </x:c>
      <x:c r="M2" s="91" t="str">
        <x:v>All in-scope modules, dependencies and acceptance gates explicitly confirmed.</x:v>
      </x:c>
      <x:c r="N2" s="91" t="str">
        <x:v>Critical</x:v>
      </x:c>
      <x:c r="O2" s="91" t="str">
        <x:v>Not Started</x:v>
      </x:c>
      <x:c r="P2" s="91" t="str">
        <x:v>13:00 scope lock; 18:00 blocker review</x:v>
      </x:c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str">
        <x:v>1.2</x:v>
      </x:c>
      <x:c r="B3" s="91" t="str">
        <x:v>Day 1</x:v>
      </x:c>
      <x:c r="C3" s="91" t="str">
        <x:v>Architecture</x:v>
      </x:c>
      <x:c r="D3" s="91" t="str">
        <x:v>Freeze v1 domain enums and runtime contract</x:v>
      </x:c>
      <x:c r="E3" s="91" t="str">
        <x:v>Freeze PolicyStatus, VersionStatus, BindingStatus, Decision, TargetType, VersionStrategy, AutonomyLevel, AccessMode, DataOperation, Classification, EnforcementMode; freeze GovernedRuntimeRequest and enforcement response contract.</x:v>
      </x:c>
      <x:c r="F3" s="91" t="str">
        <x:v>Pankaj</x:v>
      </x:c>
      <x:c r="G3" s="91" t="str">
        <x:v>Aayush</x:v>
      </x:c>
      <x:c r="H3" s="91" t="n">
        <x:v>2</x:v>
      </x:c>
      <x:c r="I3" s="91" t="str">
        <x:v>13-Aug-2026</x:v>
      </x:c>
      <x:c r="J3" s="91" t="str">
        <x:v>13-Aug-2026</x:v>
      </x:c>
      <x:c r="K3" s="91" t="str">
        <x:v>1.1</x:v>
      </x:c>
      <x:c r="L3" s="91" t="str">
        <x:v>v1 enums + request/response contract</x:v>
      </x:c>
      <x:c r="M3" s="91" t="str">
        <x:v>Same enums/contracts used by DB, backend and frontend; no duplicate naming.</x:v>
      </x:c>
      <x:c r="N3" s="91" t="str">
        <x:v>Critical</x:v>
      </x:c>
      <x:c r="O3" s="91" t="str">
        <x:v>Not Started</x:v>
      </x:c>
      <x:c r="P3" s="91" t="str">
        <x:v>Review enum/contract sheet before coding</x:v>
      </x:c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str">
        <x:v>1.3</x:v>
      </x:c>
      <x:c r="B4" s="91" t="str">
        <x:v>Day 1</x:v>
      </x:c>
      <x:c r="C4" s="91" t="str">
        <x:v>Database</x:v>
      </x:c>
      <x:c r="D4" s="91" t="str">
        <x:v>Gap review against existing Phase 0-4 schema</x:v>
      </x:c>
      <x:c r="E4" s="91" t="str">
        <x:v>Inspect existing policy/relationship/workflow/registry/audit tables; identify reusable entities vs new tables; map existing GOVERNED_BY, USES_TOOL, USES_DATA_SOURCE relationships; avoid duplicate sources of truth.</x:v>
      </x:c>
      <x:c r="F4" s="91" t="str">
        <x:v>Aayush</x:v>
      </x:c>
      <x:c r="G4" s="91" t="str">
        <x:v>Pankaj</x:v>
      </x:c>
      <x:c r="H4" s="91" t="n">
        <x:v>2.5</x:v>
      </x:c>
      <x:c r="I4" s="91" t="str">
        <x:v>13-Aug-2026</x:v>
      </x:c>
      <x:c r="J4" s="91" t="str">
        <x:v>13-Aug-2026</x:v>
      </x:c>
      <x:c r="K4" s="91" t="str">
        <x:v>1.1</x:v>
      </x:c>
      <x:c r="L4" s="91" t="str">
        <x:v>DB gap assessment</x:v>
      </x:c>
      <x:c r="M4" s="91" t="str">
        <x:v>Existing objects reused where appropriate; migration list approved.</x:v>
      </x:c>
      <x:c r="N4" s="91" t="str">
        <x:v>Critical</x:v>
      </x:c>
      <x:c r="O4" s="91" t="str">
        <x:v>Not Started</x:v>
      </x:c>
      <x:c r="P4" s="91" t="str">
        <x:v>DB review outcome recorded</x:v>
      </x:c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 t="str">
        <x:v>1.4</x:v>
      </x:c>
      <x:c r="B5" s="91" t="str">
        <x:v>Day 1</x:v>
      </x:c>
      <x:c r="C5" s="91" t="str">
        <x:v>Database</x:v>
      </x:c>
      <x:c r="D5" s="91" t="str">
        <x:v>Finalize physical schema and migration order</x:v>
      </x:c>
      <x:c r="E5" s="91" t="str">
        <x:v>Finalize governance_policies, policy_versions, policy_rules, policy_bindings, policy_evaluations, policy_rule_evaluations, policy_exceptions, enforcement_decisions, agent_runtime_boundaries, tool_capabilities, agent_tool_permissions, data_source_fields, agent_data_permissions, runtime_authorizations, runtime_enforcement_log.</x:v>
      </x:c>
      <x:c r="F5" s="91" t="str">
        <x:v>Aayush</x:v>
      </x:c>
      <x:c r="G5" s="91" t="str">
        <x:v>Pankaj</x:v>
      </x:c>
      <x:c r="H5" s="91" t="n">
        <x:v>3</x:v>
      </x:c>
      <x:c r="I5" s="91" t="str">
        <x:v>13-Aug-2026</x:v>
      </x:c>
      <x:c r="J5" s="91" t="str">
        <x:v>14-Aug-2026</x:v>
      </x:c>
      <x:c r="K5" s="91" t="str">
        <x:v>1.3</x:v>
      </x:c>
      <x:c r="L5" s="91" t="str">
        <x:v>Physical model + migration order</x:v>
      </x:c>
      <x:c r="M5" s="91" t="str">
        <x:v>PK/FK/tenant/status/effective-date rules agreed; migration is additive and reversible.</x:v>
      </x:c>
      <x:c r="N5" s="91" t="str">
        <x:v>Critical</x:v>
      </x:c>
      <x:c r="O5" s="91" t="str">
        <x:v>Not Started</x:v>
      </x:c>
      <x:c r="P5" s="91" t="str">
        <x:v>Approve table list and ownership</x:v>
      </x:c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 t="str">
        <x:v>2.1</x:v>
      </x:c>
      <x:c r="B6" s="91" t="str">
        <x:v>Day 2</x:v>
      </x:c>
      <x:c r="C6" s="91" t="str">
        <x:v>Database</x:v>
      </x:c>
      <x:c r="D6" s="91" t="str">
        <x:v>Create and run PostgreSQL migrations</x:v>
      </x:c>
      <x:c r="E6" s="91" t="str">
        <x:v>Create tables, enums/check constraints, FKs where stable, tenant_id, timestamps, lifecycle fields; add required indexes for binding resolution, policy evaluation history, agent/tool/data permission lookup and runtime correlation.</x:v>
      </x:c>
      <x:c r="F6" s="91" t="str">
        <x:v>Aayush</x:v>
      </x:c>
      <x:c r="G6" s="91" t="str">
        <x:v>Pankaj</x:v>
      </x:c>
      <x:c r="H6" s="91" t="n">
        <x:v>5</x:v>
      </x:c>
      <x:c r="I6" s="91" t="str">
        <x:v>14-Aug-2026</x:v>
      </x:c>
      <x:c r="J6" s="91" t="str">
        <x:v>14-Aug-2026</x:v>
      </x:c>
      <x:c r="K6" s="91" t="str">
        <x:v>1.4</x:v>
      </x:c>
      <x:c r="L6" s="91" t="str">
        <x:v>Migration scripts executed in dev</x:v>
      </x:c>
      <x:c r="M6" s="91" t="str">
        <x:v>Clean migration on dev DB; rollback/re-run tested; no existing data broken.</x:v>
      </x:c>
      <x:c r="N6" s="91" t="str">
        <x:v>Critical</x:v>
      </x:c>
      <x:c r="O6" s="91" t="str">
        <x:v>Not Started</x:v>
      </x:c>
      <x:c r="P6" s="91" t="str">
        <x:v>11:30 migration validation</x:v>
      </x:c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 t="str">
        <x:v>2.2</x:v>
      </x:c>
      <x:c r="B7" s="91" t="str">
        <x:v>Day 2</x:v>
      </x:c>
      <x:c r="C7" s="91" t="str">
        <x:v>Database</x:v>
      </x:c>
      <x:c r="D7" s="91" t="str">
        <x:v>Seed reference data</x:v>
      </x:c>
      <x:c r="E7" s="91" t="str">
        <x:v>Seed policy types, decisions, binding target types, autonomy levels, access modes, classifications, transformations, enforcement modes and sample pilot policy/tool/data capability records.</x:v>
      </x:c>
      <x:c r="F7" s="91" t="str">
        <x:v>Aayush</x:v>
      </x:c>
      <x:c r="G7" s="91" t="str">
        <x:v>Pankaj</x:v>
      </x:c>
      <x:c r="H7" s="91" t="n">
        <x:v>1.5</x:v>
      </x:c>
      <x:c r="I7" s="91" t="str">
        <x:v>14-Aug-2026</x:v>
      </x:c>
      <x:c r="J7" s="91" t="str">
        <x:v>14-Aug-2026</x:v>
      </x:c>
      <x:c r="K7" s="91" t="str">
        <x:v>2.1</x:v>
      </x:c>
      <x:c r="L7" s="91" t="str">
        <x:v>Seed script + pilot seed data</x:v>
      </x:c>
      <x:c r="M7" s="91" t="str">
        <x:v>Backend can load reference data; pilot scenario has required master data.</x:v>
      </x:c>
      <x:c r="N7" s="91" t="str">
        <x:v>High</x:v>
      </x:c>
      <x:c r="O7" s="91" t="str">
        <x:v>Not Started</x:v>
      </x:c>
      <x:c r="P7" s="91" t="str">
        <x:v>Verify seeds after migration</x:v>
      </x:c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 t="str">
        <x:v>2.3</x:v>
      </x:c>
      <x:c r="B8" s="91" t="str">
        <x:v>Day 2</x:v>
      </x:c>
      <x:c r="C8" s="91" t="str">
        <x:v>Backend Core</x:v>
      </x:c>
      <x:c r="D8" s="91" t="str">
        <x:v>Create backend module skeletons</x:v>
      </x:c>
      <x:c r="E8" s="91" t="str">
        <x:v>Create policy_engine, enforcement, agent_boundary, tool_governance, data_governance modules with models/schemas/repository/service/router; wire dependency injection and route registration.</x:v>
      </x:c>
      <x:c r="F8" s="91" t="str">
        <x:v>Pankaj</x:v>
      </x:c>
      <x:c r="G8" s="91" t="str">
        <x:v>Aayush</x:v>
      </x:c>
      <x:c r="H8" s="91" t="n">
        <x:v>3</x:v>
      </x:c>
      <x:c r="I8" s="91" t="str">
        <x:v>14-Aug-2026</x:v>
      </x:c>
      <x:c r="J8" s="91" t="str">
        <x:v>14-Aug-2026</x:v>
      </x:c>
      <x:c r="K8" s="91" t="str">
        <x:v>1.2,2.1</x:v>
      </x:c>
      <x:c r="L8" s="91" t="str">
        <x:v>Backend module shells</x:v>
      </x:c>
      <x:c r="M8" s="91" t="str">
        <x:v>Application starts; routes compile; module boundaries match specification.</x:v>
      </x:c>
      <x:c r="N8" s="91" t="str">
        <x:v>Critical</x:v>
      </x:c>
      <x:c r="O8" s="91" t="str">
        <x:v>Not Started</x:v>
      </x:c>
      <x:c r="P8" s="91" t="str">
        <x:v>16:00 code structure review</x:v>
      </x:c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 t="str">
        <x:v>2.4</x:v>
      </x:c>
      <x:c r="B9" s="91" t="str">
        <x:v>Day 2</x:v>
      </x:c>
      <x:c r="C9" s="91" t="str">
        <x:v>Backend Core</x:v>
      </x:c>
      <x:c r="D9" s="91" t="str">
        <x:v>Implement repositories and tenant-safe query patterns</x:v>
      </x:c>
      <x:c r="E9" s="91" t="str">
        <x:v>Implement policy/version/rule/binding repositories; boundary/tool/data permission repositories; common same-tenant filters, effective-date helpers, status filters and pagination.</x:v>
      </x:c>
      <x:c r="F9" s="91" t="str">
        <x:v>Pankaj</x:v>
      </x:c>
      <x:c r="G9" s="91" t="str">
        <x:v>Aayush</x:v>
      </x:c>
      <x:c r="H9" s="91" t="n">
        <x:v>3.5</x:v>
      </x:c>
      <x:c r="I9" s="91" t="str">
        <x:v>14-Aug-2026</x:v>
      </x:c>
      <x:c r="J9" s="91" t="str">
        <x:v>15-Aug-2026</x:v>
      </x:c>
      <x:c r="K9" s="91" t="str">
        <x:v>2.1,2.3</x:v>
      </x:c>
      <x:c r="L9" s="91" t="str">
        <x:v>Repository layer</x:v>
      </x:c>
      <x:c r="M9" s="91" t="str">
        <x:v>Repository tests prove tenant isolation and lifecycle filtering.</x:v>
      </x:c>
      <x:c r="N9" s="91" t="str">
        <x:v>Critical</x:v>
      </x:c>
      <x:c r="O9" s="91" t="str">
        <x:v>Not Started</x:v>
      </x:c>
      <x:c r="P9" s="91" t="str">
        <x:v>Repository review before services</x:v>
      </x:c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 t="str">
        <x:v>3.1</x:v>
      </x:c>
      <x:c r="B10" s="91" t="str">
        <x:v>Day 3</x:v>
      </x:c>
      <x:c r="C10" s="91" t="str">
        <x:v>Policy Engine</x:v>
      </x:c>
      <x:c r="D10" s="91" t="str">
        <x:v>Implement Policy and Version lifecycle service</x:v>
      </x:c>
      <x:c r="E10" s="91" t="str">
        <x:v>Create policy, create draft version, validate rules, activate immutable version, supersede previous version, suspend/retire policy; prevent mutation of ACTIVE version; publish lifecycle events through existing event publisher.</x:v>
      </x:c>
      <x:c r="F10" s="91" t="str">
        <x:v>Pankaj</x:v>
      </x:c>
      <x:c r="G10" s="91" t="str">
        <x:v>Aayush</x:v>
      </x:c>
      <x:c r="H10" s="91" t="n">
        <x:v>4</x:v>
      </x:c>
      <x:c r="I10" s="91" t="str">
        <x:v>15-Aug-2026</x:v>
      </x:c>
      <x:c r="J10" s="91" t="str">
        <x:v>15-Aug-2026</x:v>
      </x:c>
      <x:c r="K10" s="91" t="str">
        <x:v>2.4</x:v>
      </x:c>
      <x:c r="L10" s="91" t="str">
        <x:v>Policy/Version Service</x:v>
      </x:c>
      <x:c r="M10" s="91" t="str">
        <x:v>Lifecycle transitions and immutability tests pass; audit events emitted.</x:v>
      </x:c>
      <x:c r="N10" s="91" t="str">
        <x:v>Critical</x:v>
      </x:c>
      <x:c r="O10" s="91" t="str">
        <x:v>Not Started</x:v>
      </x:c>
      <x:c r="P10" s="91" t="str">
        <x:v>Review lifecycle tests</x:v>
      </x:c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 t="str">
        <x:v>3.2</x:v>
      </x:c>
      <x:c r="B11" s="91" t="str">
        <x:v>Day 3</x:v>
      </x:c>
      <x:c r="C11" s="91" t="str">
        <x:v>Policy Engine</x:v>
      </x:c>
      <x:c r="D11" s="91" t="str">
        <x:v>Implement Policy Binding Service</x:v>
      </x:c>
      <x:c r="E11" s="91" t="str">
        <x:v>Create/activate/suspend/revoke binding; validate target exists, same tenant, effective dates, duplicate overlap, priority, mandatory flag, CURRENT_ACTIVE vs PINNED_VERSION; invalidate binding cache.</x:v>
      </x:c>
      <x:c r="F11" s="91" t="str">
        <x:v>Pankaj</x:v>
      </x:c>
      <x:c r="G11" s="91" t="str">
        <x:v>Aayush</x:v>
      </x:c>
      <x:c r="H11" s="91" t="n">
        <x:v>3.5</x:v>
      </x:c>
      <x:c r="I11" s="91" t="str">
        <x:v>15-Aug-2026</x:v>
      </x:c>
      <x:c r="J11" s="91" t="str">
        <x:v>15-Aug-2026</x:v>
      </x:c>
      <x:c r="K11" s="91" t="str">
        <x:v>2.4</x:v>
      </x:c>
      <x:c r="L11" s="91" t="str">
        <x:v>Policy Binding Service</x:v>
      </x:c>
      <x:c r="M11" s="91" t="str">
        <x:v>Direct binding works for agent/model/workflow/tool/data; invalid/cross-tenant bindings blocked.</x:v>
      </x:c>
      <x:c r="N11" s="91" t="str">
        <x:v>Critical</x:v>
      </x:c>
      <x:c r="O11" s="91" t="str">
        <x:v>Not Started</x:v>
      </x:c>
      <x:c r="P11" s="91" t="str">
        <x:v>Demo one direct binding</x:v>
      </x:c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 t="str">
        <x:v>3.3</x:v>
      </x:c>
      <x:c r="B12" s="91" t="str">
        <x:v>Day 3</x:v>
      </x:c>
      <x:c r="C12" s="91" t="str">
        <x:v>Policy Engine</x:v>
      </x:c>
      <x:c r="D12" s="91" t="str">
        <x:v>Implement Binding Resolver</x:v>
      </x:c>
      <x:c r="E12" s="91" t="str">
        <x:v>Resolve direct + workflow + BU/department + tenant mandatory bindings; filter ACTIVE/effective/scope/conditions; select policy versions; apply precedence; return resolution_hash and trace.</x:v>
      </x:c>
      <x:c r="F12" s="91" t="str">
        <x:v>Pankaj</x:v>
      </x:c>
      <x:c r="G12" s="91" t="str">
        <x:v>Aayush</x:v>
      </x:c>
      <x:c r="H12" s="91" t="n">
        <x:v>3.5</x:v>
      </x:c>
      <x:c r="I12" s="91" t="str">
        <x:v>15-Aug-2026</x:v>
      </x:c>
      <x:c r="J12" s="91" t="str">
        <x:v>16-Aug-2026</x:v>
      </x:c>
      <x:c r="K12" s="91" t="str">
        <x:v>3.2</x:v>
      </x:c>
      <x:c r="L12" s="91" t="str">
        <x:v>Policy Resolver</x:v>
      </x:c>
      <x:c r="M12" s="91" t="str">
        <x:v>Resolved set is deterministic and explainable; expired/inactive bindings excluded.</x:v>
      </x:c>
      <x:c r="N12" s="91" t="str">
        <x:v>Critical</x:v>
      </x:c>
      <x:c r="O12" s="91" t="str">
        <x:v>Not Started</x:v>
      </x:c>
      <x:c r="P12" s="91" t="str">
        <x:v>Review precedence output</x:v>
      </x:c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 t="str">
        <x:v>3.4</x:v>
      </x:c>
      <x:c r="B13" s="91" t="str">
        <x:v>Day 3</x:v>
      </x:c>
      <x:c r="C13" s="91" t="str">
        <x:v>Policy Engine</x:v>
      </x:c>
      <x:c r="D13" s="91" t="str">
        <x:v>Implement safe rule evaluator + decision combiner</x:v>
      </x:c>
      <x:c r="E13" s="91" t="str">
        <x:v>Implement allow-listed AST/operators (EQ/NE/GT/GTE/LT/LTE/IN/EXISTS/CONTAINS/ALL/ANY/NOT); record per-rule results; combine DENY &gt; REQUIRE_APPROVAL &gt; ESCALATE &gt; ALLOW_WITH_OBLIGATIONS &gt; ALLOW.</x:v>
      </x:c>
      <x:c r="F13" s="91" t="str">
        <x:v>Pankaj</x:v>
      </x:c>
      <x:c r="G13" s="91" t="str">
        <x:v>Aayush</x:v>
      </x:c>
      <x:c r="H13" s="91" t="n">
        <x:v>4</x:v>
      </x:c>
      <x:c r="I13" s="91" t="str">
        <x:v>15-Aug-2026</x:v>
      </x:c>
      <x:c r="J13" s="91" t="str">
        <x:v>16-Aug-2026</x:v>
      </x:c>
      <x:c r="K13" s="91" t="str">
        <x:v>3.1,3.3</x:v>
      </x:c>
      <x:c r="L13" s="91" t="str">
        <x:v>Rule evaluator + combiner</x:v>
      </x:c>
      <x:c r="M13" s="91" t="str">
        <x:v>No arbitrary code execution; deterministic result; rule-level explanation persisted.</x:v>
      </x:c>
      <x:c r="N13" s="91" t="str">
        <x:v>Critical</x:v>
      </x:c>
      <x:c r="O13" s="91" t="str">
        <x:v>Not Started</x:v>
      </x:c>
      <x:c r="P13" s="91" t="str">
        <x:v>Decision precedence reviewed</x:v>
      </x:c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 t="str">
        <x:v>4.1</x:v>
      </x:c>
      <x:c r="B14" s="91" t="str">
        <x:v>Day 4</x:v>
      </x:c>
      <x:c r="C14" s="91" t="str">
        <x:v>Enforcement</x:v>
      </x:c>
      <x:c r="D14" s="91" t="str">
        <x:v>Implement Agent Boundary Resolver</x:v>
      </x:c>
      <x:c r="E14" s="91" t="str">
        <x:v>Resolve active agent runtime boundary; enforce status, autonomy level, kill switch, allowed/blocked operations, environments, model list, data classes, transaction/record/rate limits.</x:v>
      </x:c>
      <x:c r="F14" s="91" t="str">
        <x:v>Aayush</x:v>
      </x:c>
      <x:c r="G14" s="91" t="str">
        <x:v>Pankaj</x:v>
      </x:c>
      <x:c r="H14" s="91" t="n">
        <x:v>3</x:v>
      </x:c>
      <x:c r="I14" s="91" t="str">
        <x:v>16-Aug-2026</x:v>
      </x:c>
      <x:c r="J14" s="91" t="str">
        <x:v>16-Aug-2026</x:v>
      </x:c>
      <x:c r="K14" s="91" t="str">
        <x:v>2.4</x:v>
      </x:c>
      <x:c r="L14" s="91" t="str">
        <x:v>Agent Boundary Service</x:v>
      </x:c>
      <x:c r="M14" s="91" t="str">
        <x:v>RECOMMEND_ONLY and kill-switch blocks validated; effective-date behavior works.</x:v>
      </x:c>
      <x:c r="N14" s="91" t="str">
        <x:v>Critical</x:v>
      </x:c>
      <x:c r="O14" s="91" t="str">
        <x:v>Not Started</x:v>
      </x:c>
      <x:c r="P14" s="91" t="str">
        <x:v>Demo boundary block</x:v>
      </x:c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 t="str">
        <x:v>4.2</x:v>
      </x:c>
      <x:c r="B15" s="91" t="str">
        <x:v>Day 4</x:v>
      </x:c>
      <x:c r="C15" s="91" t="str">
        <x:v>Enforcement</x:v>
      </x:c>
      <x:c r="D15" s="91" t="str">
        <x:v>Implement Tool Capability &amp; Permission Guard</x:v>
      </x:c>
      <x:c r="E15" s="91" t="str">
        <x:v>Register capabilities; match agent+tool+capability+access_mode+environment; validate parameter constraints, max value/records, approval flag; use active USES_TOOL relationship as prerequisite.</x:v>
      </x:c>
      <x:c r="F15" s="91" t="str">
        <x:v>Aayush</x:v>
      </x:c>
      <x:c r="G15" s="91" t="str">
        <x:v>Pankaj</x:v>
      </x:c>
      <x:c r="H15" s="91" t="n">
        <x:v>3.5</x:v>
      </x:c>
      <x:c r="I15" s="91" t="str">
        <x:v>16-Aug-2026</x:v>
      </x:c>
      <x:c r="J15" s="91" t="str">
        <x:v>16-Aug-2026</x:v>
      </x:c>
      <x:c r="K15" s="91" t="str">
        <x:v>2.4,4.1</x:v>
      </x:c>
      <x:c r="L15" s="91" t="str">
        <x:v>Tool Guard</x:v>
      </x:c>
      <x:c r="M15" s="91" t="str">
        <x:v>READ cannot execute WRITE; missing capability denied; parameter constraints enforced.</x:v>
      </x:c>
      <x:c r="N15" s="91" t="str">
        <x:v>Critical</x:v>
      </x:c>
      <x:c r="O15" s="91" t="str">
        <x:v>Not Started</x:v>
      </x:c>
      <x:c r="P15" s="91" t="str">
        <x:v>Demo READ vs WRITE</x:v>
      </x:c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 t="str">
        <x:v>4.3</x:v>
      </x:c>
      <x:c r="B16" s="91" t="str">
        <x:v>Day 4</x:v>
      </x:c>
      <x:c r="C16" s="91" t="str">
        <x:v>Enforcement</x:v>
      </x:c>
      <x:c r="D16" s="91" t="str">
        <x:v>Implement Data Permission Guard and transformations</x:v>
      </x:c>
      <x:c r="E16" s="91" t="str">
        <x:v>Resolve USES_DATA_SOURCE; validate purpose, operation, classification ceiling, allowed/denied fields, row scope, max records/export; implement MASK/REDACT/TOKENIZE/HASH hooks using test data.</x:v>
      </x:c>
      <x:c r="F16" s="91" t="str">
        <x:v>Aayush</x:v>
      </x:c>
      <x:c r="G16" s="91" t="str">
        <x:v>Pankaj</x:v>
      </x:c>
      <x:c r="H16" s="91" t="n">
        <x:v>4</x:v>
      </x:c>
      <x:c r="I16" s="91" t="str">
        <x:v>16-Aug-2026</x:v>
      </x:c>
      <x:c r="J16" s="91" t="str">
        <x:v>17-Aug-2026</x:v>
      </x:c>
      <x:c r="K16" s="91" t="str">
        <x:v>2.4,4.1</x:v>
      </x:c>
      <x:c r="L16" s="91" t="str">
        <x:v>Data Guard + transformation hooks</x:v>
      </x:c>
      <x:c r="M16" s="91" t="str">
        <x:v>Denied fields never exposed; masking occurs before model/tool exposure; record limits enforced.</x:v>
      </x:c>
      <x:c r="N16" s="91" t="str">
        <x:v>Critical</x:v>
      </x:c>
      <x:c r="O16" s="91" t="str">
        <x:v>Not Started</x:v>
      </x:c>
      <x:c r="P16" s="91" t="str">
        <x:v>Data masking demo</x:v>
      </x:c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 t="str">
        <x:v>4.4</x:v>
      </x:c>
      <x:c r="B17" s="91" t="str">
        <x:v>Day 4</x:v>
      </x:c>
      <x:c r="C17" s="91" t="str">
        <x:v>Enforcement</x:v>
      </x:c>
      <x:c r="D17" s="91" t="str">
        <x:v>Implement Model/Provider Guard</x:v>
      </x:c>
      <x:c r="E17" s="91" t="str">
        <x:v>Validate USES_MODEL, active approved model/version, provider restrictions, environment/region and data-classification compatibility; block unauthorized fallback model.</x:v>
      </x:c>
      <x:c r="F17" s="91" t="str">
        <x:v>Aayush</x:v>
      </x:c>
      <x:c r="G17" s="91" t="str">
        <x:v>Pankaj</x:v>
      </x:c>
      <x:c r="H17" s="91" t="n">
        <x:v>2</x:v>
      </x:c>
      <x:c r="I17" s="91" t="str">
        <x:v>16-Aug-2026</x:v>
      </x:c>
      <x:c r="J17" s="91" t="str">
        <x:v>17-Aug-2026</x:v>
      </x:c>
      <x:c r="K17" s="91" t="str">
        <x:v>4.1,4.3</x:v>
      </x:c>
      <x:c r="L17" s="91" t="str">
        <x:v>Model Guard</x:v>
      </x:c>
      <x:c r="M17" s="91" t="str">
        <x:v>Restricted-data/provider incompatibility blocked before invocation.</x:v>
      </x:c>
      <x:c r="N17" s="91" t="str">
        <x:v>High</x:v>
      </x:c>
      <x:c r="O17" s="91" t="str">
        <x:v>Not Started</x:v>
      </x:c>
      <x:c r="P17" s="91" t="str">
        <x:v>Provider restriction test</x:v>
      </x:c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 t="str">
        <x:v>5.1</x:v>
      </x:c>
      <x:c r="B18" s="91" t="str">
        <x:v>Day 5</x:v>
      </x:c>
      <x:c r="C18" s="91" t="str">
        <x:v>Enforcement</x:v>
      </x:c>
      <x:c r="D18" s="91" t="str">
        <x:v>Build Governance Context Builder and Decision Combiner integration</x:v>
      </x:c>
      <x:c r="E18" s="91" t="str">
        <x:v>Normalize runtime request; gather actor/agent/workflow/model/tool/data/risk/environment context; call relationship guard, hard boundaries and policy engine; combine into one authoritative result with reason codes and obligations.</x:v>
      </x:c>
      <x:c r="F18" s="91" t="str">
        <x:v>Pankaj</x:v>
      </x:c>
      <x:c r="G18" s="91" t="str">
        <x:v>Aayush</x:v>
      </x:c>
      <x:c r="H18" s="91" t="n">
        <x:v>3.5</x:v>
      </x:c>
      <x:c r="I18" s="91" t="str">
        <x:v>17-Aug-2026</x:v>
      </x:c>
      <x:c r="J18" s="91" t="str">
        <x:v>17-Aug-2026</x:v>
      </x:c>
      <x:c r="K18" s="91" t="str">
        <x:v>3.4,4.1-4.4</x:v>
      </x:c>
      <x:c r="L18" s="91" t="str">
        <x:v>Governance Context + combined decision</x:v>
      </x:c>
      <x:c r="M18" s="91" t="str">
        <x:v>One request produces layer-by-layer trace and one final decision.</x:v>
      </x:c>
      <x:c r="N18" s="91" t="str">
        <x:v>Critical</x:v>
      </x:c>
      <x:c r="O18" s="91" t="str">
        <x:v>Not Started</x:v>
      </x:c>
      <x:c r="P18" s="91" t="str">
        <x:v>Review final decision trace</x:v>
      </x:c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 t="str">
        <x:v>5.2</x:v>
      </x:c>
      <x:c r="B19" s="91" t="str">
        <x:v>Day 5</x:v>
      </x:c>
      <x:c r="C19" s="91" t="str">
        <x:v>Enforcement</x:v>
      </x:c>
      <x:c r="D19" s="91" t="str">
        <x:v>Implement Runtime Enforcement Gateway</x:v>
      </x:c>
      <x:c r="E19" s="91" t="str">
        <x:v>Server-side mandatory gateway for governed WRITE/EXECUTE; route DENY to block, REQUIRE_APPROVAL to approval adapter, ESCALATE to escalation adapter, ALLOW to controlled adapter; never let client call target directly.</x:v>
      </x:c>
      <x:c r="F19" s="91" t="str">
        <x:v>Pankaj</x:v>
      </x:c>
      <x:c r="G19" s="91" t="str">
        <x:v>Aayush</x:v>
      </x:c>
      <x:c r="H19" s="91" t="n">
        <x:v>4</x:v>
      </x:c>
      <x:c r="I19" s="91" t="str">
        <x:v>17-Aug-2026</x:v>
      </x:c>
      <x:c r="J19" s="91" t="str">
        <x:v>17-Aug-2026</x:v>
      </x:c>
      <x:c r="K19" s="91" t="str">
        <x:v>5.1</x:v>
      </x:c>
      <x:c r="L19" s="91" t="str">
        <x:v>Runtime Enforcement Gateway</x:v>
      </x:c>
      <x:c r="M19" s="91" t="str">
        <x:v>Target adapter is invoked only after successful enforcement decision.</x:v>
      </x:c>
      <x:c r="N19" s="91" t="str">
        <x:v>Critical</x:v>
      </x:c>
      <x:c r="O19" s="91" t="str">
        <x:v>Not Started</x:v>
      </x:c>
      <x:c r="P19" s="91" t="str">
        <x:v>Live controlled action demo</x:v>
      </x:c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 t="str">
        <x:v>5.3</x:v>
      </x:c>
      <x:c r="B20" s="91" t="str">
        <x:v>Day 5</x:v>
      </x:c>
      <x:c r="C20" s="91" t="str">
        <x:v>Security</x:v>
      </x:c>
      <x:c r="D20" s="91" t="str">
        <x:v>Implement exact-request authorization / TOCTOU protection</x:v>
      </x:c>
      <x:c r="E20" s="91" t="str">
        <x:v>Create context_hash, relationship_hash, policy_hash; issue short-lived runtime authorization linked to request/approval; verify immediately before target execution; reject changed/replayed/expired authorization.</x:v>
      </x:c>
      <x:c r="F20" s="91" t="str">
        <x:v>Pankaj</x:v>
      </x:c>
      <x:c r="G20" s="91" t="str">
        <x:v>Aayush</x:v>
      </x:c>
      <x:c r="H20" s="91" t="n">
        <x:v>3</x:v>
      </x:c>
      <x:c r="I20" s="91" t="str">
        <x:v>17-Aug-2026</x:v>
      </x:c>
      <x:c r="J20" s="91" t="str">
        <x:v>18-Aug-2026</x:v>
      </x:c>
      <x:c r="K20" s="91" t="str">
        <x:v>5.2</x:v>
      </x:c>
      <x:c r="L20" s="91" t="str">
        <x:v>Runtime Authorization Service</x:v>
      </x:c>
      <x:c r="M20" s="91" t="str">
        <x:v>Changed request after approval is rejected; replay blocked for single-use authorization.</x:v>
      </x:c>
      <x:c r="N20" s="91" t="str">
        <x:v>Critical</x:v>
      </x:c>
      <x:c r="O20" s="91" t="str">
        <x:v>Not Started</x:v>
      </x:c>
      <x:c r="P20" s="91" t="str">
        <x:v>Security test review</x:v>
      </x:c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 t="str">
        <x:v>5.4</x:v>
      </x:c>
      <x:c r="B21" s="91" t="str">
        <x:v>Day 5</x:v>
      </x:c>
      <x:c r="C21" s="91" t="str">
        <x:v>Integration</x:v>
      </x:c>
      <x:c r="D21" s="91" t="str">
        <x:v>Integrate approval/exception hooks</x:v>
      </x:c>
      <x:c r="E21" s="91" t="str">
        <x:v>Integrate REQUIRE_APPROVAL with existing approval service; pass policy/version/rule/context hash; validate approval at execution time; support exception lookup. If full 2-layer approval work is separate, use stable adapter contract and test stub until merged.</x:v>
      </x:c>
      <x:c r="F21" s="91" t="str">
        <x:v>Aayush</x:v>
      </x:c>
      <x:c r="G21" s="91" t="str">
        <x:v>Pankaj</x:v>
      </x:c>
      <x:c r="H21" s="91" t="n">
        <x:v>2.5</x:v>
      </x:c>
      <x:c r="I21" s="91" t="str">
        <x:v>17-Aug-2026</x:v>
      </x:c>
      <x:c r="J21" s="91" t="str">
        <x:v>18-Aug-2026</x:v>
      </x:c>
      <x:c r="K21" s="91" t="str">
        <x:v>5.1, approval service</x:v>
      </x:c>
      <x:c r="L21" s="91" t="str">
        <x:v>Approval/Exception Adapter</x:v>
      </x:c>
      <x:c r="M21" s="91" t="str">
        <x:v>Pending approval prevents execution; approved unchanged context can proceed.</x:v>
      </x:c>
      <x:c r="N21" s="91" t="str">
        <x:v>High</x:v>
      </x:c>
      <x:c r="O21" s="91" t="str">
        <x:v>Not Started</x:v>
      </x:c>
      <x:c r="P21" s="91" t="str">
        <x:v>Dependency status checkpoint</x:v>
      </x:c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 t="str">
        <x:v>5.5</x:v>
      </x:c>
      <x:c r="B22" s="91" t="str">
        <x:v>Day 5</x:v>
      </x:c>
      <x:c r="C22" s="91" t="str">
        <x:v>Integration</x:v>
      </x:c>
      <x:c r="D22" s="91" t="str">
        <x:v>Extend governance event integration</x:v>
      </x:c>
      <x:c r="E22" s="91" t="str">
        <x:v>Publish POLICY_EVALUATED/TRIGGERED, AGENT_ACTION_REQUESTED/VALIDATED/BLOCKED, TOOL_ACCESS_ATTEMPTED/DENIED, DATA_ACCESS_REQUESTED/DENIED, DATA_TRANSFORMATION_APPLIED, MODEL_INVOCATION_BLOCKED, ACTION_EXECUTED/FAILED with correlation_id.</x:v>
      </x:c>
      <x:c r="F22" s="91" t="str">
        <x:v>Aayush</x:v>
      </x:c>
      <x:c r="G22" s="91" t="str">
        <x:v>Pankaj</x:v>
      </x:c>
      <x:c r="H22" s="91" t="n">
        <x:v>2.5</x:v>
      </x:c>
      <x:c r="I22" s="91" t="str">
        <x:v>17-Aug-2026</x:v>
      </x:c>
      <x:c r="J22" s="91" t="str">
        <x:v>18-Aug-2026</x:v>
      </x:c>
      <x:c r="K22" s="91" t="str">
        <x:v>5.1, Step 4 event publisher</x:v>
      </x:c>
      <x:c r="L22" s="91" t="str">
        <x:v>Event integration</x:v>
      </x:c>
      <x:c r="M22" s="91" t="str">
        <x:v>Complete event chain visible for pilot request; no sensitive raw payload in event.</x:v>
      </x:c>
      <x:c r="N22" s="91" t="str">
        <x:v>Critical</x:v>
      </x:c>
      <x:c r="O22" s="91" t="str">
        <x:v>Not Started</x:v>
      </x:c>
      <x:c r="P22" s="91" t="str">
        <x:v>Audit timeline check</x:v>
      </x:c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 t="str">
        <x:v>5.6</x:v>
      </x:c>
      <x:c r="B23" s="91" t="str">
        <x:v>Day 5</x:v>
      </x:c>
      <x:c r="C23" s="91" t="str">
        <x:v>Frontend</x:v>
      </x:c>
      <x:c r="D23" s="91" t="str">
        <x:v>Build minimal Policy &amp; Binding administration UI</x:v>
      </x:c>
      <x:c r="E23" s="91" t="str">
        <x:v>Implement policy list/detail, active version summary, binding manager/attach policy drawer, applicable policies panel; use existing design system; backend remains authoritative.</x:v>
      </x:c>
      <x:c r="F23" s="91" t="str">
        <x:v>Aayush</x:v>
      </x:c>
      <x:c r="G23" s="91" t="str">
        <x:v>Pankaj</x:v>
      </x:c>
      <x:c r="H23" s="91" t="n">
        <x:v>4</x:v>
      </x:c>
      <x:c r="I23" s="91" t="str">
        <x:v>17-Aug-2026</x:v>
      </x:c>
      <x:c r="J23" s="91" t="str">
        <x:v>18-Aug-2026</x:v>
      </x:c>
      <x:c r="K23" s="91" t="str">
        <x:v>3.1-3.3 APIs</x:v>
      </x:c>
      <x:c r="L23" s="91" t="str">
        <x:v>Policy/Binding UI MVP</x:v>
      </x:c>
      <x:c r="M23" s="91" t="str">
        <x:v>User can attach policy to agent/workflow/tool/data and see direct/inherited source.</x:v>
      </x:c>
      <x:c r="N23" s="91" t="str">
        <x:v>High</x:v>
      </x:c>
      <x:c r="O23" s="91" t="str">
        <x:v>Not Started</x:v>
      </x:c>
      <x:c r="P23" s="91" t="str">
        <x:v>UI/API review</x:v>
      </x:c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 t="str">
        <x:v>6.1</x:v>
      </x:c>
      <x:c r="B24" s="91" t="str">
        <x:v>Day 6</x:v>
      </x:c>
      <x:c r="C24" s="91" t="str">
        <x:v>Frontend</x:v>
      </x:c>
      <x:c r="D24" s="91" t="str">
        <x:v>Build Agent Boundary / Tool / Data access tabs</x:v>
      </x:c>
      <x:c r="E24" s="91" t="str">
        <x:v>On Agent Detail add Autonomy &amp; Limits, Tool Access, Data Access, Policies, Enforcement History; implement grant/revoke forms and kill-switch control with permission checks.</x:v>
      </x:c>
      <x:c r="F24" s="91" t="str">
        <x:v>Aayush</x:v>
      </x:c>
      <x:c r="G24" s="91" t="str">
        <x:v>Pankaj</x:v>
      </x:c>
      <x:c r="H24" s="91" t="n">
        <x:v>4.5</x:v>
      </x:c>
      <x:c r="I24" s="91" t="str">
        <x:v>18-Aug-2026</x:v>
      </x:c>
      <x:c r="J24" s="91" t="str">
        <x:v>18-Aug-2026</x:v>
      </x:c>
      <x:c r="K24" s="91" t="str">
        <x:v>4.1-4.3 APIs</x:v>
      </x:c>
      <x:c r="L24" s="91" t="str">
        <x:v>Agent enforcement UI MVP</x:v>
      </x:c>
      <x:c r="M24" s="91" t="str">
        <x:v>Configured boundary and entitlements visible/editable by authorized admin.</x:v>
      </x:c>
      <x:c r="N24" s="91" t="str">
        <x:v>High</x:v>
      </x:c>
      <x:c r="O24" s="91" t="str">
        <x:v>Not Started</x:v>
      </x:c>
      <x:c r="P24" s="91" t="str">
        <x:v>Functional UI demo</x:v>
      </x:c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 t="str">
        <x:v>6.2</x:v>
      </x:c>
      <x:c r="B25" s="91" t="str">
        <x:v>Day 6</x:v>
      </x:c>
      <x:c r="C25" s="91" t="str">
        <x:v>Frontend</x:v>
      </x:c>
      <x:c r="D25" s="91" t="str">
        <x:v>Build Enforcement Simulation and Decision Detail</x:v>
      </x:c>
      <x:c r="E25" s="91" t="str">
        <x:v>Create NON-AUTHORITATIVE simulation screen; display relationship/boundary/policy checks, matched rules, final decision, obligations and remediation hint; no target side effect.</x:v>
      </x:c>
      <x:c r="F25" s="91" t="str">
        <x:v>Aayush</x:v>
      </x:c>
      <x:c r="G25" s="91" t="str">
        <x:v>Pankaj</x:v>
      </x:c>
      <x:c r="H25" s="91" t="n">
        <x:v>3</x:v>
      </x:c>
      <x:c r="I25" s="91" t="str">
        <x:v>18-Aug-2026</x:v>
      </x:c>
      <x:c r="J25" s="91" t="str">
        <x:v>18-Aug-2026</x:v>
      </x:c>
      <x:c r="K25" s="91" t="str">
        <x:v>5.1 API</x:v>
      </x:c>
      <x:c r="L25" s="91" t="str">
        <x:v>Simulation + decision trace UI</x:v>
      </x:c>
      <x:c r="M25" s="91" t="str">
        <x:v>Simulation never executes target; trace is understandable to developer/support user.</x:v>
      </x:c>
      <x:c r="N25" s="91" t="str">
        <x:v>Medium</x:v>
      </x:c>
      <x:c r="O25" s="91" t="str">
        <x:v>Not Started</x:v>
      </x:c>
      <x:c r="P25" s="91" t="str">
        <x:v>Simulation demo</x:v>
      </x:c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 t="str">
        <x:v>6.3</x:v>
      </x:c>
      <x:c r="B26" s="91" t="str">
        <x:v>Day 6</x:v>
      </x:c>
      <x:c r="C26" s="91" t="str">
        <x:v>QA</x:v>
      </x:c>
      <x:c r="D26" s="91" t="str">
        <x:v>Backend/API automated test suite</x:v>
      </x:c>
      <x:c r="E26" s="91" t="str">
        <x:v>Create/execute unit and API tests for policy lifecycle, binding resolution, decision precedence, boundary rules, tool permissions, data classification/transforms, model restrictions, authorization replay/context mismatch and tenant isolation.</x:v>
      </x:c>
      <x:c r="F26" s="91" t="str">
        <x:v>Pankaj</x:v>
      </x:c>
      <x:c r="G26" s="91" t="str">
        <x:v>Aayush</x:v>
      </x:c>
      <x:c r="H26" s="91" t="n">
        <x:v>5</x:v>
      </x:c>
      <x:c r="I26" s="91" t="str">
        <x:v>18-Aug-2026</x:v>
      </x:c>
      <x:c r="J26" s="91" t="str">
        <x:v>18-Aug-2026</x:v>
      </x:c>
      <x:c r="K26" s="91" t="str">
        <x:v>3.x,4.x,5.x</x:v>
      </x:c>
      <x:c r="L26" s="91" t="str">
        <x:v>Automated API test results</x:v>
      </x:c>
      <x:c r="M26" s="91" t="str">
        <x:v>All Critical test cases pass or defects logged with owner/ETA.</x:v>
      </x:c>
      <x:c r="N26" s="91" t="str">
        <x:v>Critical</x:v>
      </x:c>
      <x:c r="O26" s="91" t="str">
        <x:v>Not Started</x:v>
      </x:c>
      <x:c r="P26" s="91" t="str">
        <x:v>15:00 test triage</x:v>
      </x:c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 t="str">
        <x:v>6.4</x:v>
      </x:c>
      <x:c r="B27" s="91" t="str">
        <x:v>Day 6</x:v>
      </x:c>
      <x:c r="C27" s="91" t="str">
        <x:v>QA</x:v>
      </x:c>
      <x:c r="D27" s="91" t="str">
        <x:v>End-to-end integration scenarios</x:v>
      </x:c>
      <x:c r="E27" s="91" t="str">
        <x:v>Execute pilot flows: permitted action; missing WRITE permission; high-value approval; restricted data to prohibited model; masking obligation; permission revoked after approval; kill switch; policy engine timeout fail-closed.</x:v>
      </x:c>
      <x:c r="F27" s="91" t="str">
        <x:v>Pankaj</x:v>
      </x:c>
      <x:c r="G27" s="91" t="str">
        <x:v>Aayush</x:v>
      </x:c>
      <x:c r="H27" s="91" t="n">
        <x:v>3.5</x:v>
      </x:c>
      <x:c r="I27" s="91" t="str">
        <x:v>18-Aug-2026</x:v>
      </x:c>
      <x:c r="J27" s="91" t="str">
        <x:v>18-Aug-2026</x:v>
      </x:c>
      <x:c r="K27" s="91" t="str">
        <x:v>5.2-5.5</x:v>
      </x:c>
      <x:c r="L27" s="91" t="str">
        <x:v>E2E test evidence</x:v>
      </x:c>
      <x:c r="M27" s="91" t="str">
        <x:v>No unauthorized target call occurs in negative scenarios; event trail complete.</x:v>
      </x:c>
      <x:c r="N27" s="91" t="str">
        <x:v>Critical</x:v>
      </x:c>
      <x:c r="O27" s="91" t="str">
        <x:v>Not Started</x:v>
      </x:c>
      <x:c r="P27" s="91" t="str">
        <x:v>18:00 critical defect review</x:v>
      </x:c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 t="str">
        <x:v>7.1</x:v>
      </x:c>
      <x:c r="B28" s="91" t="str">
        <x:v>Day 7</x:v>
      </x:c>
      <x:c r="C28" s="91" t="str">
        <x:v>Security</x:v>
      </x:c>
      <x:c r="D28" s="91" t="str">
        <x:v>Security and negative-path validation</x:v>
      </x:c>
      <x:c r="E28" s="91" t="str">
        <x:v>Verify cross-tenant isolation, agent spoof prevention, inactive/expired permission behavior, unauthorized admin changes, no secret leakage, raw sensitive payload excluded from logs/events, service-only authoritative evaluation.</x:v>
      </x:c>
      <x:c r="F28" s="91" t="str">
        <x:v>Pankaj</x:v>
      </x:c>
      <x:c r="G28" s="91" t="str">
        <x:v>Aayush</x:v>
      </x:c>
      <x:c r="H28" s="91" t="n">
        <x:v>3</x:v>
      </x:c>
      <x:c r="I28" s="91" t="str">
        <x:v>19-Aug-2026</x:v>
      </x:c>
      <x:c r="J28" s="91" t="str">
        <x:v>19-Aug-2026</x:v>
      </x:c>
      <x:c r="K28" s="91" t="str">
        <x:v>6.3,6.4</x:v>
      </x:c>
      <x:c r="L28" s="91" t="str">
        <x:v>Security validation pack</x:v>
      </x:c>
      <x:c r="M28" s="91" t="str">
        <x:v>No Critical security gap open.</x:v>
      </x:c>
      <x:c r="N28" s="91" t="str">
        <x:v>Critical</x:v>
      </x:c>
      <x:c r="O28" s="91" t="str">
        <x:v>Not Started</x:v>
      </x:c>
      <x:c r="P28" s="91" t="str">
        <x:v>Security sign-off</x:v>
      </x:c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 t="str">
        <x:v>7.2</x:v>
      </x:c>
      <x:c r="B29" s="91" t="str">
        <x:v>Day 7</x:v>
      </x:c>
      <x:c r="C29" s="91" t="str">
        <x:v>Integration</x:v>
      </x:c>
      <x:c r="D29" s="91" t="str">
        <x:v>Performance/cache/resilience hardening</x:v>
      </x:c>
      <x:c r="E29" s="91" t="str">
        <x:v>Add targeted caches for active versions/bindings/boundaries/permissions; invalidate on changes; DB fallback on cache failure; enforce timeouts; capture evaluation latency; validate fail-closed rules.</x:v>
      </x:c>
      <x:c r="F29" s="91" t="str">
        <x:v>Aayush</x:v>
      </x:c>
      <x:c r="G29" s="91" t="str">
        <x:v>Pankaj</x:v>
      </x:c>
      <x:c r="H29" s="91" t="n">
        <x:v>3</x:v>
      </x:c>
      <x:c r="I29" s="91" t="str">
        <x:v>19-Aug-2026</x:v>
      </x:c>
      <x:c r="J29" s="91" t="str">
        <x:v>19-Aug-2026</x:v>
      </x:c>
      <x:c r="K29" s="91" t="str">
        <x:v>5.x,6.x</x:v>
      </x:c>
      <x:c r="L29" s="91" t="str">
        <x:v>Performance/resilience baseline</x:v>
      </x:c>
      <x:c r="M29" s="91" t="str">
        <x:v>Common path acceptable; cache failure does not bypass controls.</x:v>
      </x:c>
      <x:c r="N29" s="91" t="str">
        <x:v>High</x:v>
      </x:c>
      <x:c r="O29" s="91" t="str">
        <x:v>Not Started</x:v>
      </x:c>
      <x:c r="P29" s="91" t="str">
        <x:v>Performance review</x:v>
      </x:c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 t="str">
        <x:v>7.3</x:v>
      </x:c>
      <x:c r="B30" s="91" t="str">
        <x:v>Day 7</x:v>
      </x:c>
      <x:c r="C30" s="91" t="str">
        <x:v>QA</x:v>
      </x:c>
      <x:c r="D30" s="91" t="str">
        <x:v>Regression and defect closure</x:v>
      </x:c>
      <x:c r="E30" s="91" t="str">
        <x:v>Retest all Critical/High defects; run smoke suite for prior registry/workflow/relationship/event capabilities affected by new integrations; document deferred non-critical items.</x:v>
      </x:c>
      <x:c r="F30" s="91" t="str">
        <x:v>Pankaj</x:v>
      </x:c>
      <x:c r="G30" s="91" t="str">
        <x:v>Aayush</x:v>
      </x:c>
      <x:c r="H30" s="91" t="n">
        <x:v>3.5</x:v>
      </x:c>
      <x:c r="I30" s="91" t="str">
        <x:v>19-Aug-2026</x:v>
      </x:c>
      <x:c r="J30" s="91" t="str">
        <x:v>19-Aug-2026</x:v>
      </x:c>
      <x:c r="K30" s="91" t="str">
        <x:v>6.3,6.4,7.1</x:v>
      </x:c>
      <x:c r="L30" s="91" t="str">
        <x:v>Regression report</x:v>
      </x:c>
      <x:c r="M30" s="91" t="str">
        <x:v>Zero open Critical defects; High defects either closed or explicitly accepted by Jitendra.</x:v>
      </x:c>
      <x:c r="N30" s="91" t="str">
        <x:v>Critical</x:v>
      </x:c>
      <x:c r="O30" s="91" t="str">
        <x:v>Not Started</x:v>
      </x:c>
      <x:c r="P30" s="91" t="str">
        <x:v>16:00 go/no-go</x:v>
      </x:c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 t="str">
        <x:v>7.4</x:v>
      </x:c>
      <x:c r="B31" s="91" t="str">
        <x:v>Day 7</x:v>
      </x:c>
      <x:c r="C31" s="91" t="str">
        <x:v>Documentation</x:v>
      </x:c>
      <x:c r="D31" s="91" t="str">
        <x:v>Finalize developer handover pack</x:v>
      </x:c>
      <x:c r="E31" s="91" t="str">
        <x:v>Package DB migrations, seed scripts, OpenAPI, event extensions, config/env notes, sample policies/permissions, curl/Postman examples, test evidence, known issues, rollback and runbook.</x:v>
      </x:c>
      <x:c r="F31" s="91" t="str">
        <x:v>Aayush</x:v>
      </x:c>
      <x:c r="G31" s="91" t="str">
        <x:v>Pankaj</x:v>
      </x:c>
      <x:c r="H31" s="91" t="n">
        <x:v>2.5</x:v>
      </x:c>
      <x:c r="I31" s="91" t="str">
        <x:v>19-Aug-2026</x:v>
      </x:c>
      <x:c r="J31" s="91" t="str">
        <x:v>19-Aug-2026</x:v>
      </x:c>
      <x:c r="K31" s="91" t="str">
        <x:v>All implementation</x:v>
      </x:c>
      <x:c r="L31" s="91" t="str">
        <x:v>Handover pack</x:v>
      </x:c>
      <x:c r="M31" s="91" t="str">
        <x:v>A new developer can run migrations, start services and execute pilot scenario without clarification.</x:v>
      </x:c>
      <x:c r="N31" s="91" t="str">
        <x:v>High</x:v>
      </x:c>
      <x:c r="O31" s="91" t="str">
        <x:v>Not Started</x:v>
      </x:c>
      <x:c r="P31" s="91" t="str">
        <x:v>Handover completeness check</x:v>
      </x:c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 t="str">
        <x:v>7.5</x:v>
      </x:c>
      <x:c r="B32" s="91" t="str">
        <x:v>Day 7</x:v>
      </x:c>
      <x:c r="C32" s="91" t="str">
        <x:v>Project Management</x:v>
      </x:c>
      <x:c r="D32" s="91" t="str">
        <x:v>Final UAT / Green flag review</x:v>
      </x:c>
      <x:c r="E32" s="91" t="str">
        <x:v>Jitendra walks the pilot scenario end to end: attach policy -&gt; configure agent/tool/data -&gt; simulate -&gt; approval/block/allow -&gt; target adapter -&gt; events/audit; review checklist and sign off remaining backlog.</x:v>
      </x:c>
      <x:c r="F32" s="91" t="str">
        <x:v>Jitendra</x:v>
      </x:c>
      <x:c r="G32" s="91" t="str">
        <x:v>Aayush + Pankaj</x:v>
      </x:c>
      <x:c r="H32" s="91" t="n">
        <x:v>1.5</x:v>
      </x:c>
      <x:c r="I32" s="91" t="str">
        <x:v>19-Aug-2026</x:v>
      </x:c>
      <x:c r="J32" s="91" t="str">
        <x:v>19-Aug-2026</x:v>
      </x:c>
      <x:c r="K32" s="91" t="str">
        <x:v>7.1-7.4</x:v>
      </x:c>
      <x:c r="L32" s="91" t="str">
        <x:v>Signed sprint acceptance + next backlog</x:v>
      </x:c>
      <x:c r="M32" s="91" t="str">
        <x:v>All mandatory acceptance criteria met; release candidate tagged.</x:v>
      </x:c>
      <x:c r="N32" s="91" t="str">
        <x:v>Critical</x:v>
      </x:c>
      <x:c r="O32" s="91" t="str">
        <x:v>Not Started</x:v>
      </x:c>
      <x:c r="P32" s="91" t="str">
        <x:v>Final sign-off</x:v>
      </x:c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conditionalFormatting sqref="O2:O200">
    <x:cfRule type="expression" dxfId="0" priority="1">
      <x:formula>$O2="Completed"</x:formula>
    </x:cfRule>
    <x:cfRule type="expression" dxfId="1" priority="2">
      <x:formula>$O2="Blocked"</x:formula>
    </x:cfRule>
    <x:cfRule type="expression" dxfId="2" priority="3">
      <x:formula>$O2="At Risk"</x:formula>
    </x:cfRule>
  </x:conditionalFormatting>
  <x:conditionalFormatting sqref="N2:N200">
    <x:cfRule type="expression" dxfId="3" priority="4">
      <x:formula>$N2="Critical"</x:formula>
    </x:cfRule>
    <x:cfRule type="expression" dxfId="4" priority="5">
      <x:formula>$N2="High"</x:formula>
    </x:cfRule>
  </x:conditionalFormatting>
  <x:dataValidations count="3">
    <x:dataValidation type="list" sqref="F2:F200">
      <x:formula1>Lists!$C$2:$C$5</x:formula1>
    </x:dataValidation>
    <x:dataValidation type="list" sqref="N2:N200">
      <x:formula1>Lists!$B$2:$B$5</x:formula1>
    </x:dataValidation>
    <x:dataValidation type="list" sqref="O2:O200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195cdab64243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7" hidden="0" customWidth="1"/>
    <x:col min="4" max="4" width="42" hidden="0" customWidth="1"/>
    <x:col min="5" max="5" width="42" hidden="0" customWidth="1"/>
    <x:col min="6" max="6" width="38" hidden="0" customWidth="1"/>
    <x:col min="7" max="7" width="42" hidden="0" customWidth="1"/>
    <x:col min="8" max="8" width="30" hidden="0" customWidth="1"/>
  </x:cols>
  <x:sheetData>
    <x:row r="1">
      <x:c r="A1" s="93" t="str">
        <x:v>Day</x:v>
      </x:c>
      <x:c r="B1" s="93" t="str">
        <x:v>Date</x:v>
      </x:c>
      <x:c r="C1" s="93" t="str">
        <x:v>Primary Theme</x:v>
      </x:c>
      <x:c r="D1" s="93" t="str">
        <x:v>Aayush Focus</x:v>
      </x:c>
      <x:c r="E1" s="93" t="str">
        <x:v>Pankaj Focus</x:v>
      </x:c>
      <x:c r="F1" s="93" t="str">
        <x:v>Jitendra Management Gate</x:v>
      </x:c>
      <x:c r="G1" s="93" t="str">
        <x:v>Expected EOD Output</x:v>
      </x:c>
      <x:c r="H1" s="93" t="str">
        <x:v>Exit Gate</x:v>
      </x:c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str">
        <x:v>Day 1</x:v>
      </x:c>
      <x:c r="B2" s="91" t="str">
        <x:v>13-Aug-2026</x:v>
      </x:c>
      <x:c r="C2" s="91" t="str">
        <x:v>Architecture + DB freeze</x:v>
      </x:c>
      <x:c r="D2" s="91" t="str">
        <x:v>DB gap review, physical model, migration order</x:v>
      </x:c>
      <x:c r="E2" s="91" t="str">
        <x:v>Enums/contracts, service architecture, implementation rule freeze</x:v>
      </x:c>
      <x:c r="F2" s="91" t="str">
        <x:v>Kickoff; freeze scope; remove ambiguities; approve schema list</x:v>
      </x:c>
      <x:c r="G2" s="91" t="str">
        <x:v>Frozen v1 contract + physical DB design</x:v>
      </x:c>
      <x:c r="H2" s="91" t="str">
        <x:v>No schema/API ambiguity</x:v>
      </x:c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str">
        <x:v>Day 2</x:v>
      </x:c>
      <x:c r="B3" s="91" t="str">
        <x:v>14-Aug-2026</x:v>
      </x:c>
      <x:c r="C3" s="91" t="str">
        <x:v>Database + backend foundation</x:v>
      </x:c>
      <x:c r="D3" s="91" t="str">
        <x:v>Migrations, indexes, seeds; support repository model mapping</x:v>
      </x:c>
      <x:c r="E3" s="91" t="str">
        <x:v>Module shells, repositories, tenant/effective-date query helpers</x:v>
      </x:c>
      <x:c r="F3" s="91" t="str">
        <x:v>Validate migrations and repository plan</x:v>
      </x:c>
      <x:c r="G3" s="91" t="str">
        <x:v>DB ready + backend foundation compiling</x:v>
      </x:c>
      <x:c r="H3" s="91" t="str">
        <x:v>Clean migration and app startup</x:v>
      </x:c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str">
        <x:v>Day 3</x:v>
      </x:c>
      <x:c r="B4" s="91" t="str">
        <x:v>15-Aug-2026</x:v>
      </x:c>
      <x:c r="C4" s="91" t="str">
        <x:v>Policy core</x:v>
      </x:c>
      <x:c r="D4" s="91" t="str">
        <x:v>Support DB/API integration and test data</x:v>
      </x:c>
      <x:c r="E4" s="91" t="str">
        <x:v>Policy/version lifecycle, binding, resolver, safe rule evaluator/combiner</x:v>
      </x:c>
      <x:c r="F4" s="91" t="str">
        <x:v>Review precedence and lifecycle demo</x:v>
      </x:c>
      <x:c r="G4" s="91" t="str">
        <x:v>Policies can be bound, resolved and evaluated</x:v>
      </x:c>
      <x:c r="H4" s="91" t="str">
        <x:v>Deterministic policy decision</x:v>
      </x:c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 t="str">
        <x:v>Day 4</x:v>
      </x:c>
      <x:c r="B5" s="91" t="str">
        <x:v>16-Aug-2026</x:v>
      </x:c>
      <x:c r="C5" s="91" t="str">
        <x:v>Agent/Tool/Data boundaries</x:v>
      </x:c>
      <x:c r="D5" s="91" t="str">
        <x:v>Agent boundary, tool permissions, data permission/transforms, model guard</x:v>
      </x:c>
      <x:c r="E5" s="91" t="str">
        <x:v>Review hard-boundary integration; add tests and edge cases</x:v>
      </x:c>
      <x:c r="F5" s="91" t="str">
        <x:v>Validate three boundary demos</x:v>
      </x:c>
      <x:c r="G5" s="91" t="str">
        <x:v>Hard entitlements enforce before policy</x:v>
      </x:c>
      <x:c r="H5" s="91" t="str">
        <x:v>Unauthorized request blocked</x:v>
      </x:c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 t="str">
        <x:v>Day 5</x:v>
      </x:c>
      <x:c r="B6" s="91" t="str">
        <x:v>17-Aug-2026</x:v>
      </x:c>
      <x:c r="C6" s="91" t="str">
        <x:v>Runtime gateway + integration</x:v>
      </x:c>
      <x:c r="D6" s="91" t="str">
        <x:v>Approval adapter, events, minimal policy/binding UI</x:v>
      </x:c>
      <x:c r="E6" s="91" t="str">
        <x:v>Context builder, enforcement gateway, exact-request authorization</x:v>
      </x:c>
      <x:c r="F6" s="91" t="str">
        <x:v>Midpoint architecture review; dependency escalation</x:v>
      </x:c>
      <x:c r="G6" s="91" t="str">
        <x:v>One end-to-end governed runtime flow</x:v>
      </x:c>
      <x:c r="H6" s="91" t="str">
        <x:v>Target called only after authorization</x:v>
      </x:c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 t="str">
        <x:v>Day 6</x:v>
      </x:c>
      <x:c r="B7" s="91" t="str">
        <x:v>18-Aug-2026</x:v>
      </x:c>
      <x:c r="C7" s="91" t="str">
        <x:v>Frontend MVP + QA</x:v>
      </x:c>
      <x:c r="D7" s="91" t="str">
        <x:v>Agent tabs, permission UI, simulation/decision trace</x:v>
      </x:c>
      <x:c r="E7" s="91" t="str">
        <x:v>Automated tests + E2E negative/positive scenarios</x:v>
      </x:c>
      <x:c r="F7" s="91" t="str">
        <x:v>Defect triage; protect critical path</x:v>
      </x:c>
      <x:c r="G7" s="91" t="str">
        <x:v>Feature-complete MVP with test evidence</x:v>
      </x:c>
      <x:c r="H7" s="91" t="str">
        <x:v>Critical test set mostly green</x:v>
      </x:c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 t="str">
        <x:v>Day 7</x:v>
      </x:c>
      <x:c r="B8" s="91" t="str">
        <x:v>19-Aug-2026</x:v>
      </x:c>
      <x:c r="C8" s="91" t="str">
        <x:v>Hardening + handover</x:v>
      </x:c>
      <x:c r="D8" s="91" t="str">
        <x:v>Performance/cache/resilience, docs/handover</x:v>
      </x:c>
      <x:c r="E8" s="91" t="str">
        <x:v>Security, regression, defect closure</x:v>
      </x:c>
      <x:c r="F8" s="91" t="str">
        <x:v>Go/no-go, UAT, sign-off, next backlog</x:v>
      </x:c>
      <x:c r="G8" s="91" t="str">
        <x:v>Release candidate + handover pack</x:v>
      </x:c>
      <x:c r="H8" s="91" t="str">
        <x:v>Zero Critical defects</x:v>
      </x:c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/>
      <x:c r="B9" s="91"/>
      <x:c r="C9" s="91"/>
      <x:c r="D9" s="91"/>
      <x:c r="E9" s="91"/>
      <x:c r="F9" s="91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/>
      <x:c r="B10" s="91"/>
      <x:c r="C10" s="91"/>
      <x:c r="D10" s="91"/>
      <x:c r="E10" s="91"/>
      <x:c r="F10" s="91"/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/>
      <x:c r="B11" s="91"/>
      <x:c r="C11" s="91"/>
      <x:c r="D11" s="91"/>
      <x:c r="E11" s="91"/>
      <x:c r="F11" s="91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/>
      <x:c r="B12" s="91"/>
      <x:c r="C12" s="91"/>
      <x:c r="D12" s="91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/>
      <x:c r="B14" s="91"/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pageMargins left="0.7" right="0.7" top="0.75" bottom="0.75" header="0.3" footer="0.3"/>
  <x:tableParts count="1">
    <x:tablePart xmlns:r="http://schemas.openxmlformats.org/officeDocument/2006/relationships" r:id="R34014b8d886541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8" hidden="0" customWidth="1"/>
    <x:col min="4" max="4" width="14" hidden="0" customWidth="1"/>
    <x:col min="5" max="5" width="46" hidden="0" customWidth="1"/>
    <x:col min="6" max="6" width="30" hidden="0" customWidth="1"/>
    <x:col min="7" max="7" width="30" hidden="0" customWidth="1"/>
    <x:col min="8" max="8" width="30" hidden="0" customWidth="1"/>
  </x:cols>
  <x:sheetData>
    <x:row r="1">
      <x:c r="A1" s="95" t="str">
        <x:v>Resource</x:v>
      </x:c>
      <x:c r="B1" s="95" t="str">
        <x:v>Role in Sprint</x:v>
      </x:c>
      <x:c r="C1" s="95" t="str">
        <x:v>Primary Areas</x:v>
      </x:c>
      <x:c r="D1" s="95" t="str">
        <x:v>Planned Hours</x:v>
      </x:c>
      <x:c r="E1" s="95" t="str">
        <x:v>Critical Deliverables</x:v>
      </x:c>
      <x:c r="F1" s="95" t="str">
        <x:v>Day 1-3</x:v>
      </x:c>
      <x:c r="G1" s="95" t="str">
        <x:v>Day 4-5</x:v>
      </x:c>
      <x:c r="H1" s="95" t="str">
        <x:v>Day 6-7</x:v>
      </x:c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str">
        <x:v>Aayush</x:v>
      </x:c>
      <x:c r="B2" s="91" t="str">
        <x:v>Backend/DB + partial frontend</x:v>
      </x:c>
      <x:c r="C2" s="91" t="str">
        <x:v>Physical DB, migrations, agent/tool/data enforcement, integration, frontend MVP, performance/handover</x:v>
      </x:c>
      <x:c r="D2" s="91" t="n">
        <x:v>52.5</x:v>
      </x:c>
      <x:c r="E2" s="91" t="str">
        <x:v>DB migration; Boundary/Tool/Data services; Approval/Event integration; Frontend MVP; Handover</x:v>
      </x:c>
      <x:c r="F2" s="91" t="str">
        <x:v>DB + integration support</x:v>
      </x:c>
      <x:c r="G2" s="91" t="str">
        <x:v>Enforcement + integration</x:v>
      </x:c>
      <x:c r="H2" s="91" t="str">
        <x:v>Frontend + performance/docs</x:v>
      </x:c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str">
        <x:v>Pankaj</x:v>
      </x:c>
      <x:c r="B3" s="91" t="str">
        <x:v>Backend + QA</x:v>
      </x:c>
      <x:c r="C3" s="91" t="str">
        <x:v>Policy engine, resolver/evaluator, enforcement gateway, authorization, automated QA/security/regression</x:v>
      </x:c>
      <x:c r="D3" s="91" t="n">
        <x:v>52.5</x:v>
      </x:c>
      <x:c r="E3" s="91" t="str">
        <x:v>Policy Engine; Runtime Gateway; Authorization; Automated/E2E QA; Security sign-off</x:v>
      </x:c>
      <x:c r="F3" s="91" t="str">
        <x:v>Backend core + policy</x:v>
      </x:c>
      <x:c r="G3" s="91" t="str">
        <x:v>Gateway + authorization</x:v>
      </x:c>
      <x:c r="H3" s="91" t="str">
        <x:v>QA + security/regression</x:v>
      </x:c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str">
        <x:v>Jitendra</x:v>
      </x:c>
      <x:c r="B4" s="91" t="str">
        <x:v>Project Manager</x:v>
      </x:c>
      <x:c r="C4" s="91" t="str">
        <x:v>Scope, dependencies, daily gates, blocker removal, UAT, sign-off</x:v>
      </x:c>
      <x:c r="D4" s="91" t="n">
        <x:v>14</x:v>
      </x:c>
      <x:c r="E4" s="91" t="str">
        <x:v>Scope freeze; daily checkpoint; go/no-go; acceptance and backlog</x:v>
      </x:c>
      <x:c r="F4" s="91" t="str">
        <x:v>Scope and architecture gates</x:v>
      </x:c>
      <x:c r="G4" s="91" t="str">
        <x:v>Dependency/defect gates</x:v>
      </x:c>
      <x:c r="H4" s="91" t="str">
        <x:v>UAT + sign-off</x:v>
      </x:c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/>
      <x:c r="B5" s="91"/>
      <x:c r="C5" s="91"/>
      <x:c r="D5" s="91"/>
      <x:c r="E5" s="91"/>
      <x:c r="F5" s="91"/>
      <x:c r="G5" s="91"/>
      <x:c r="H5" s="91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/>
      <x:c r="B6" s="91"/>
      <x:c r="C6" s="91"/>
      <x:c r="D6" s="91"/>
      <x:c r="E6" s="91"/>
      <x:c r="F6" s="91"/>
      <x:c r="G6" s="91"/>
      <x:c r="H6" s="91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/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/>
      <x:c r="B8" s="91"/>
      <x:c r="C8" s="91"/>
      <x:c r="D8" s="91"/>
      <x:c r="E8" s="91"/>
      <x:c r="F8" s="91"/>
      <x:c r="G8" s="91"/>
      <x:c r="H8" s="91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/>
      <x:c r="B9" s="91"/>
      <x:c r="C9" s="91"/>
      <x:c r="D9" s="91"/>
      <x:c r="E9" s="91"/>
      <x:c r="F9" s="91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/>
      <x:c r="B10" s="91"/>
      <x:c r="C10" s="91"/>
      <x:c r="D10" s="91"/>
      <x:c r="E10" s="91"/>
      <x:c r="F10" s="91"/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/>
      <x:c r="B11" s="91"/>
      <x:c r="C11" s="91"/>
      <x:c r="D11" s="91"/>
      <x:c r="E11" s="91"/>
      <x:c r="F11" s="91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/>
      <x:c r="B12" s="91"/>
      <x:c r="C12" s="91"/>
      <x:c r="D12" s="91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/>
      <x:c r="B14" s="91"/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pageMargins left="0.7" right="0.7" top="0.75" bottom="0.75" header="0.3" footer="0.3"/>
  <x:tableParts count="1">
    <x:tablePart xmlns:r="http://schemas.openxmlformats.org/officeDocument/2006/relationships" r:id="R845c985b261445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18" hidden="0" customWidth="1"/>
    <x:col min="4" max="4" width="14" hidden="0" customWidth="1"/>
    <x:col min="5" max="5" width="18" hidden="0" customWidth="1"/>
    <x:col min="6" max="6" width="48" hidden="0" customWidth="1"/>
    <x:col min="7" max="7" width="16" hidden="0" customWidth="1"/>
    <x:col min="8" max="8" width="18" hidden="0" customWidth="1"/>
  </x:cols>
  <x:sheetData>
    <x:row r="1">
      <x:c r="A1" s="102" t="str">
        <x:v>ID</x:v>
      </x:c>
      <x:c r="B1" s="102" t="str">
        <x:v>Deliverable</x:v>
      </x:c>
      <x:c r="C1" s="102" t="str">
        <x:v>Owner</x:v>
      </x:c>
      <x:c r="D1" s="102" t="str">
        <x:v>Due</x:v>
      </x:c>
      <x:c r="E1" s="102" t="str">
        <x:v>Depends On</x:v>
      </x:c>
      <x:c r="F1" s="102" t="str">
        <x:v>Acceptance Gate</x:v>
      </x:c>
      <x:c r="G1" s="102" t="str">
        <x:v>Status</x:v>
      </x:c>
      <x:c r="H1" s="102" t="str">
        <x:v>Jitendra Sign-off</x:v>
      </x:c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str">
        <x:v>D1</x:v>
      </x:c>
      <x:c r="B2" s="91" t="str">
        <x:v>Frozen v1 enums + runtime request/response contract</x:v>
      </x:c>
      <x:c r="C2" s="91" t="str">
        <x:v>Pankaj</x:v>
      </x:c>
      <x:c r="D2" s="91" t="str">
        <x:v>13-Aug-2026</x:v>
      </x:c>
      <x:c r="E2" s="91" t="str">
        <x:v>Kickoff</x:v>
      </x:c>
      <x:c r="F2" s="91" t="str">
        <x:v>Used consistently in schema/API/tests</x:v>
      </x:c>
      <x:c r="G2" s="91" t="str">
        <x:v>Not Started</x:v>
      </x:c>
      <x:c r="H2" s="91" t="str">
        <x:v>Pending</x:v>
      </x:c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str">
        <x:v>D2</x:v>
      </x:c>
      <x:c r="B3" s="91" t="str">
        <x:v>Physical PostgreSQL schema + migration/rollback + seeds</x:v>
      </x:c>
      <x:c r="C3" s="91" t="str">
        <x:v>Aayush</x:v>
      </x:c>
      <x:c r="D3" s="91" t="str">
        <x:v>14-Aug-2026</x:v>
      </x:c>
      <x:c r="E3" s="91" t="str">
        <x:v>D1</x:v>
      </x:c>
      <x:c r="F3" s="91" t="str">
        <x:v>Clean migration/rollback; existing data safe</x:v>
      </x:c>
      <x:c r="G3" s="91" t="str">
        <x:v>Not Started</x:v>
      </x:c>
      <x:c r="H3" s="91" t="str">
        <x:v>Pending</x:v>
      </x:c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str">
        <x:v>D3</x:v>
      </x:c>
      <x:c r="B4" s="91" t="str">
        <x:v>Policy/Version/Binding/Resolver/Evaluator services</x:v>
      </x:c>
      <x:c r="C4" s="91" t="str">
        <x:v>Pankaj</x:v>
      </x:c>
      <x:c r="D4" s="91" t="str">
        <x:v>16-Aug-2026</x:v>
      </x:c>
      <x:c r="E4" s="91" t="str">
        <x:v>D1,D2</x:v>
      </x:c>
      <x:c r="F4" s="91" t="str">
        <x:v>Policy can attach -&gt; resolve -&gt; evaluate deterministically</x:v>
      </x:c>
      <x:c r="G4" s="91" t="str">
        <x:v>Not Started</x:v>
      </x:c>
      <x:c r="H4" s="91" t="str">
        <x:v>Pending</x:v>
      </x:c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 t="str">
        <x:v>D4</x:v>
      </x:c>
      <x:c r="B5" s="91" t="str">
        <x:v>Agent Boundary + Tool + Data + Model guards</x:v>
      </x:c>
      <x:c r="C5" s="91" t="str">
        <x:v>Aayush</x:v>
      </x:c>
      <x:c r="D5" s="91" t="str">
        <x:v>17-Aug-2026</x:v>
      </x:c>
      <x:c r="E5" s="91" t="str">
        <x:v>D2</x:v>
      </x:c>
      <x:c r="F5" s="91" t="str">
        <x:v>Hard boundaries block unauthorized calls</x:v>
      </x:c>
      <x:c r="G5" s="91" t="str">
        <x:v>Not Started</x:v>
      </x:c>
      <x:c r="H5" s="91" t="str">
        <x:v>Pending</x:v>
      </x:c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 t="str">
        <x:v>D5</x:v>
      </x:c>
      <x:c r="B6" s="91" t="str">
        <x:v>Runtime Enforcement Gateway + exact-request authorization</x:v>
      </x:c>
      <x:c r="C6" s="91" t="str">
        <x:v>Pankaj</x:v>
      </x:c>
      <x:c r="D6" s="91" t="str">
        <x:v>18-Aug-2026</x:v>
      </x:c>
      <x:c r="E6" s="91" t="str">
        <x:v>D3,D4</x:v>
      </x:c>
      <x:c r="F6" s="91" t="str">
        <x:v>Target adapter cannot execute without valid authorization</x:v>
      </x:c>
      <x:c r="G6" s="91" t="str">
        <x:v>Not Started</x:v>
      </x:c>
      <x:c r="H6" s="91" t="str">
        <x:v>Pending</x:v>
      </x:c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 t="str">
        <x:v>D6</x:v>
      </x:c>
      <x:c r="B7" s="91" t="str">
        <x:v>Approval/Exception + Governance Event integration</x:v>
      </x:c>
      <x:c r="C7" s="91" t="str">
        <x:v>Aayush</x:v>
      </x:c>
      <x:c r="D7" s="91" t="str">
        <x:v>18-Aug-2026</x:v>
      </x:c>
      <x:c r="E7" s="91" t="str">
        <x:v>D3,D5</x:v>
      </x:c>
      <x:c r="F7" s="91" t="str">
        <x:v>Approval and audit chain work with correlation_id</x:v>
      </x:c>
      <x:c r="G7" s="91" t="str">
        <x:v>Not Started</x:v>
      </x:c>
      <x:c r="H7" s="91" t="str">
        <x:v>Pending</x:v>
      </x:c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 t="str">
        <x:v>D7</x:v>
      </x:c>
      <x:c r="B8" s="91" t="str">
        <x:v>Policy/Enforcement frontend MVP</x:v>
      </x:c>
      <x:c r="C8" s="91" t="str">
        <x:v>Aayush</x:v>
      </x:c>
      <x:c r="D8" s="91" t="str">
        <x:v>18-Aug-2026</x:v>
      </x:c>
      <x:c r="E8" s="91" t="str">
        <x:v>D3-D6 APIs</x:v>
      </x:c>
      <x:c r="F8" s="91" t="str">
        <x:v>Admin can configure/view; simulation has no side effect</x:v>
      </x:c>
      <x:c r="G8" s="91" t="str">
        <x:v>Not Started</x:v>
      </x:c>
      <x:c r="H8" s="91" t="str">
        <x:v>Pending</x:v>
      </x:c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 t="str">
        <x:v>D8</x:v>
      </x:c>
      <x:c r="B9" s="91" t="str">
        <x:v>Automated + E2E + security test evidence</x:v>
      </x:c>
      <x:c r="C9" s="91" t="str">
        <x:v>Pankaj</x:v>
      </x:c>
      <x:c r="D9" s="91" t="str">
        <x:v>19-Aug-2026</x:v>
      </x:c>
      <x:c r="E9" s="91" t="str">
        <x:v>D3-D7</x:v>
      </x:c>
      <x:c r="F9" s="91" t="str">
        <x:v>All Critical tests pass; zero Critical defects</x:v>
      </x:c>
      <x:c r="G9" s="91" t="str">
        <x:v>Not Started</x:v>
      </x:c>
      <x:c r="H9" s="91" t="str">
        <x:v>Pending</x:v>
      </x:c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 t="str">
        <x:v>D9</x:v>
      </x:c>
      <x:c r="B10" s="91" t="str">
        <x:v>Performance/resilience baseline + handover pack</x:v>
      </x:c>
      <x:c r="C10" s="91" t="str">
        <x:v>Aayush</x:v>
      </x:c>
      <x:c r="D10" s="91" t="str">
        <x:v>19-Aug-2026</x:v>
      </x:c>
      <x:c r="E10" s="91" t="str">
        <x:v>D3-D8</x:v>
      </x:c>
      <x:c r="F10" s="91" t="str">
        <x:v>Cache fallback/fail-closed documented; handover runnable</x:v>
      </x:c>
      <x:c r="G10" s="91" t="str">
        <x:v>Not Started</x:v>
      </x:c>
      <x:c r="H10" s="91" t="str">
        <x:v>Pending</x:v>
      </x:c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 t="str">
        <x:v>D10</x:v>
      </x:c>
      <x:c r="B11" s="91" t="str">
        <x:v>Final UAT and sprint acceptance</x:v>
      </x:c>
      <x:c r="C11" s="91" t="str">
        <x:v>Jitendra</x:v>
      </x:c>
      <x:c r="D11" s="91" t="str">
        <x:v>19-Aug-2026</x:v>
      </x:c>
      <x:c r="E11" s="91" t="str">
        <x:v>D1-D9</x:v>
      </x:c>
      <x:c r="F11" s="91" t="str">
        <x:v>Green flag + next backlog</x:v>
      </x:c>
      <x:c r="G11" s="91" t="str">
        <x:v>Not Started</x:v>
      </x:c>
      <x:c r="H11" s="91" t="str">
        <x:v>Pending</x:v>
      </x:c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/>
      <x:c r="B12" s="91"/>
      <x:c r="C12" s="91"/>
      <x:c r="D12" s="91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/>
      <x:c r="B14" s="91"/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dataValidations count="1">
    <x:dataValidation type="list" sqref="G2:G100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b35c9999ac45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44" hidden="0" customWidth="1"/>
  </x:cols>
  <x:sheetData>
    <x:row r="1">
      <x:c r="A1" s="104" t="str">
        <x:v>Work Package</x:v>
      </x:c>
      <x:c r="B1" s="104" t="str">
        <x:v>Jitendra</x:v>
      </x:c>
      <x:c r="C1" s="104" t="str">
        <x:v>Aayush</x:v>
      </x:c>
      <x:c r="D1" s="104" t="str">
        <x:v>Pankaj</x:v>
      </x:c>
      <x:c r="E1" s="104" t="str">
        <x:v>Final Accountable</x:v>
      </x:c>
      <x:c r="F1" s="104" t="str">
        <x:v>Notes</x:v>
      </x:c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str">
        <x:v>Scope / architecture decisions</x:v>
      </x:c>
      <x:c r="B2" s="91" t="str">
        <x:v>A/R</x:v>
      </x:c>
      <x:c r="C2" s="91" t="str">
        <x:v>C</x:v>
      </x:c>
      <x:c r="D2" s="91" t="str">
        <x:v>C</x:v>
      </x:c>
      <x:c r="E2" s="91" t="str">
        <x:v>Jitendra</x:v>
      </x:c>
      <x:c r="F2" s="91" t="str">
        <x:v>No implementation ambiguity remains</x:v>
      </x:c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str">
        <x:v>Physical DB &amp; migrations</x:v>
      </x:c>
      <x:c r="B3" s="91" t="str">
        <x:v>I</x:v>
      </x:c>
      <x:c r="C3" s="91" t="str">
        <x:v>A/R</x:v>
      </x:c>
      <x:c r="D3" s="91" t="str">
        <x:v>C</x:v>
      </x:c>
      <x:c r="E3" s="91" t="str">
        <x:v>Aayush</x:v>
      </x:c>
      <x:c r="F3" s="91" t="str">
        <x:v>Pankaj reviews model compatibility</x:v>
      </x:c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str">
        <x:v>Policy lifecycle / binding / resolution / evaluation</x:v>
      </x:c>
      <x:c r="B4" s="91" t="str">
        <x:v>I</x:v>
      </x:c>
      <x:c r="C4" s="91" t="str">
        <x:v>C</x:v>
      </x:c>
      <x:c r="D4" s="91" t="str">
        <x:v>A/R</x:v>
      </x:c>
      <x:c r="E4" s="91" t="str">
        <x:v>Pankaj</x:v>
      </x:c>
      <x:c r="F4" s="91" t="str">
        <x:v>Aayush supports DB/integration</x:v>
      </x:c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 t="str">
        <x:v>Agent Boundary / Tool / Data / Model guards</x:v>
      </x:c>
      <x:c r="B5" s="91" t="str">
        <x:v>I</x:v>
      </x:c>
      <x:c r="C5" s="91" t="str">
        <x:v>A/R</x:v>
      </x:c>
      <x:c r="D5" s="91" t="str">
        <x:v>C</x:v>
      </x:c>
      <x:c r="E5" s="91" t="str">
        <x:v>Aayush</x:v>
      </x:c>
      <x:c r="F5" s="91" t="str">
        <x:v>Pankaj provides QA/security review</x:v>
      </x:c>
      <x:c r="G5" s="91"/>
      <x:c r="H5" s="91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 t="str">
        <x:v>Runtime Enforcement Gateway</x:v>
      </x:c>
      <x:c r="B6" s="91" t="str">
        <x:v>I</x:v>
      </x:c>
      <x:c r="C6" s="91" t="str">
        <x:v>C</x:v>
      </x:c>
      <x:c r="D6" s="91" t="str">
        <x:v>A/R</x:v>
      </x:c>
      <x:c r="E6" s="91" t="str">
        <x:v>Pankaj</x:v>
      </x:c>
      <x:c r="F6" s="91" t="str">
        <x:v>Server-side authoritative control</x:v>
      </x:c>
      <x:c r="G6" s="91"/>
      <x:c r="H6" s="91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 t="str">
        <x:v>Approval / exception integration</x:v>
      </x:c>
      <x:c r="B7" s="91" t="str">
        <x:v>A</x:v>
      </x:c>
      <x:c r="C7" s="91" t="str">
        <x:v>R</x:v>
      </x:c>
      <x:c r="D7" s="91" t="str">
        <x:v>C</x:v>
      </x:c>
      <x:c r="E7" s="91" t="str">
        <x:v>Jitendra</x:v>
      </x:c>
      <x:c r="F7" s="91" t="str">
        <x:v>Adapter contract if dependency not merged</x:v>
      </x:c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 t="str">
        <x:v>Governance event integration</x:v>
      </x:c>
      <x:c r="B8" s="91" t="str">
        <x:v>I</x:v>
      </x:c>
      <x:c r="C8" s="91" t="str">
        <x:v>A/R</x:v>
      </x:c>
      <x:c r="D8" s="91" t="str">
        <x:v>C</x:v>
      </x:c>
      <x:c r="E8" s="91" t="str">
        <x:v>Aayush</x:v>
      </x:c>
      <x:c r="F8" s="91" t="str">
        <x:v>Must follow Step 4 event/outbox pattern</x:v>
      </x:c>
      <x:c r="G8" s="91"/>
      <x:c r="H8" s="91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 t="str">
        <x:v>Frontend MVP</x:v>
      </x:c>
      <x:c r="B9" s="91" t="str">
        <x:v>I</x:v>
      </x:c>
      <x:c r="C9" s="91" t="str">
        <x:v>A/R</x:v>
      </x:c>
      <x:c r="D9" s="91" t="str">
        <x:v>C</x:v>
      </x:c>
      <x:c r="E9" s="91" t="str">
        <x:v>Aayush</x:v>
      </x:c>
      <x:c r="F9" s="91" t="str">
        <x:v>Only developer/admin UI required this sprint</x:v>
      </x:c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 t="str">
        <x:v>Automated / E2E / security QA</x:v>
      </x:c>
      <x:c r="B10" s="91" t="str">
        <x:v>A</x:v>
      </x:c>
      <x:c r="C10" s="91" t="str">
        <x:v>C</x:v>
      </x:c>
      <x:c r="D10" s="91" t="str">
        <x:v>R</x:v>
      </x:c>
      <x:c r="E10" s="91" t="str">
        <x:v>Jitendra</x:v>
      </x:c>
      <x:c r="F10" s="91" t="str">
        <x:v>Pankaj owns evidence and regression</x:v>
      </x:c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 t="str">
        <x:v>Performance / resilience</x:v>
      </x:c>
      <x:c r="B11" s="91" t="str">
        <x:v>I</x:v>
      </x:c>
      <x:c r="C11" s="91" t="str">
        <x:v>R</x:v>
      </x:c>
      <x:c r="D11" s="91" t="str">
        <x:v>C</x:v>
      </x:c>
      <x:c r="E11" s="91" t="str">
        <x:v>Aayush</x:v>
      </x:c>
      <x:c r="F11" s="91" t="str">
        <x:v>No bypass on cache/dependency failure</x:v>
      </x:c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 t="str">
        <x:v>Handover / release candidate</x:v>
      </x:c>
      <x:c r="B12" s="91" t="str">
        <x:v>A</x:v>
      </x:c>
      <x:c r="C12" s="91" t="str">
        <x:v>R</x:v>
      </x:c>
      <x:c r="D12" s="91" t="str">
        <x:v>R</x:v>
      </x:c>
      <x:c r="E12" s="91" t="str">
        <x:v>Jitendra</x:v>
      </x:c>
      <x:c r="F12" s="91" t="str">
        <x:v>Both developers provide artifacts</x:v>
      </x:c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/>
      <x:c r="B14" s="91"/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pageMargins left="0.7" right="0.7" top="0.75" bottom="0.75" header="0.3" footer="0.3"/>
  <x:tableParts count="1">
    <x:tablePart xmlns:r="http://schemas.openxmlformats.org/officeDocument/2006/relationships" r:id="R103e98bc169e4b1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46" hidden="0" customWidth="1"/>
    <x:col min="5" max="5" width="16" hidden="0" customWidth="1"/>
    <x:col min="6" max="6" width="12" hidden="0" customWidth="1"/>
    <x:col min="7" max="7" width="15" hidden="0" customWidth="1"/>
    <x:col min="8" max="8" width="34" hidden="0" customWidth="1"/>
  </x:cols>
  <x:sheetData>
    <x:row r="1">
      <x:c r="A1" s="106" t="str">
        <x:v>Test ID</x:v>
      </x:c>
      <x:c r="B1" s="106" t="str">
        <x:v>Area</x:v>
      </x:c>
      <x:c r="C1" s="106" t="str">
        <x:v>Scenario</x:v>
      </x:c>
      <x:c r="D1" s="106" t="str">
        <x:v>Expected Result</x:v>
      </x:c>
      <x:c r="E1" s="106" t="str">
        <x:v>Owner</x:v>
      </x:c>
      <x:c r="F1" s="106" t="str">
        <x:v>Run Day</x:v>
      </x:c>
      <x:c r="G1" s="106" t="str">
        <x:v>Status</x:v>
      </x:c>
      <x:c r="H1" s="106" t="str">
        <x:v>Evidence / Defect</x:v>
      </x:c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str">
        <x:v>Q-001</x:v>
      </x:c>
      <x:c r="B2" s="91" t="str">
        <x:v>Policy</x:v>
      </x:c>
      <x:c r="C2" s="91" t="str">
        <x:v>Bind policy to active AI Agent</x:v>
      </x:c>
      <x:c r="D2" s="91" t="str">
        <x:v>Binding active and visible; audit event created</x:v>
      </x:c>
      <x:c r="E2" s="91" t="str">
        <x:v>Pankaj</x:v>
      </x:c>
      <x:c r="F2" s="91" t="str">
        <x:v>Day 3</x:v>
      </x:c>
      <x:c r="G2" s="91" t="str">
        <x:v>Not Run</x:v>
      </x:c>
      <x:c r="H2" s="91" t="str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str">
        <x:v>Q-002</x:v>
      </x:c>
      <x:c r="B3" s="91" t="str">
        <x:v>Policy</x:v>
      </x:c>
      <x:c r="C3" s="91" t="str">
        <x:v>Expired binding resolution</x:v>
      </x:c>
      <x:c r="D3" s="91" t="str">
        <x:v>Expired binding excluded</x:v>
      </x:c>
      <x:c r="E3" s="91" t="str">
        <x:v>Pankaj</x:v>
      </x:c>
      <x:c r="F3" s="91" t="str">
        <x:v>Day 3</x:v>
      </x:c>
      <x:c r="G3" s="91" t="str">
        <x:v>Not Run</x:v>
      </x:c>
      <x:c r="H3" s="91" t="str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str">
        <x:v>Q-003</x:v>
      </x:c>
      <x:c r="B4" s="91" t="str">
        <x:v>Policy</x:v>
      </x:c>
      <x:c r="C4" s="91" t="str">
        <x:v>DENY vs ALLOW conflict</x:v>
      </x:c>
      <x:c r="D4" s="91" t="str">
        <x:v>DENY wins</x:v>
      </x:c>
      <x:c r="E4" s="91" t="str">
        <x:v>Pankaj</x:v>
      </x:c>
      <x:c r="F4" s="91" t="str">
        <x:v>Day 3</x:v>
      </x:c>
      <x:c r="G4" s="91" t="str">
        <x:v>Not Run</x:v>
      </x:c>
      <x:c r="H4" s="91" t="str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 t="str">
        <x:v>Q-004</x:v>
      </x:c>
      <x:c r="B5" s="91" t="str">
        <x:v>Policy</x:v>
      </x:c>
      <x:c r="C5" s="91" t="str">
        <x:v>REQUIRE_APPROVAL vs ALLOW</x:v>
      </x:c>
      <x:c r="D5" s="91" t="str">
        <x:v>Approval required</x:v>
      </x:c>
      <x:c r="E5" s="91" t="str">
        <x:v>Pankaj</x:v>
      </x:c>
      <x:c r="F5" s="91" t="str">
        <x:v>Day 3</x:v>
      </x:c>
      <x:c r="G5" s="91" t="str">
        <x:v>Not Run</x:v>
      </x:c>
      <x:c r="H5" s="91" t="str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 t="str">
        <x:v>Q-005</x:v>
      </x:c>
      <x:c r="B6" s="91" t="str">
        <x:v>Agent</x:v>
      </x:c>
      <x:c r="C6" s="91" t="str">
        <x:v>RECOMMEND_ONLY attempts WRITE</x:v>
      </x:c>
      <x:c r="D6" s="91" t="str">
        <x:v>Denied before target call</x:v>
      </x:c>
      <x:c r="E6" s="91" t="str">
        <x:v>Pankaj</x:v>
      </x:c>
      <x:c r="F6" s="91" t="str">
        <x:v>Day 4</x:v>
      </x:c>
      <x:c r="G6" s="91" t="str">
        <x:v>Not Run</x:v>
      </x:c>
      <x:c r="H6" s="91" t="str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 t="str">
        <x:v>Q-006</x:v>
      </x:c>
      <x:c r="B7" s="91" t="str">
        <x:v>Agent</x:v>
      </x:c>
      <x:c r="C7" s="91" t="str">
        <x:v>Kill switch active</x:v>
      </x:c>
      <x:c r="D7" s="91" t="str">
        <x:v>All governed actions blocked</x:v>
      </x:c>
      <x:c r="E7" s="91" t="str">
        <x:v>Pankaj</x:v>
      </x:c>
      <x:c r="F7" s="91" t="str">
        <x:v>Day 4</x:v>
      </x:c>
      <x:c r="G7" s="91" t="str">
        <x:v>Not Run</x:v>
      </x:c>
      <x:c r="H7" s="91" t="str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 t="str">
        <x:v>Q-007</x:v>
      </x:c>
      <x:c r="B8" s="91" t="str">
        <x:v>Tool</x:v>
      </x:c>
      <x:c r="C8" s="91" t="str">
        <x:v>READ permission attempts WRITE</x:v>
      </x:c>
      <x:c r="D8" s="91" t="str">
        <x:v>Denied</x:v>
      </x:c>
      <x:c r="E8" s="91" t="str">
        <x:v>Pankaj</x:v>
      </x:c>
      <x:c r="F8" s="91" t="str">
        <x:v>Day 4</x:v>
      </x:c>
      <x:c r="G8" s="91" t="str">
        <x:v>Not Run</x:v>
      </x:c>
      <x:c r="H8" s="91" t="str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 t="str">
        <x:v>Q-008</x:v>
      </x:c>
      <x:c r="B9" s="91" t="str">
        <x:v>Tool</x:v>
      </x:c>
      <x:c r="C9" s="91" t="str">
        <x:v>Parameter above permission max</x:v>
      </x:c>
      <x:c r="D9" s="91" t="str">
        <x:v>Denied/approval as configured</x:v>
      </x:c>
      <x:c r="E9" s="91" t="str">
        <x:v>Pankaj</x:v>
      </x:c>
      <x:c r="F9" s="91" t="str">
        <x:v>Day 4</x:v>
      </x:c>
      <x:c r="G9" s="91" t="str">
        <x:v>Not Run</x:v>
      </x:c>
      <x:c r="H9" s="91" t="str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 t="str">
        <x:v>Q-009</x:v>
      </x:c>
      <x:c r="B10" s="91" t="str">
        <x:v>Data</x:v>
      </x:c>
      <x:c r="C10" s="91" t="str">
        <x:v>Wrong purpose requested</x:v>
      </x:c>
      <x:c r="D10" s="91" t="str">
        <x:v>Denied</x:v>
      </x:c>
      <x:c r="E10" s="91" t="str">
        <x:v>Pankaj</x:v>
      </x:c>
      <x:c r="F10" s="91" t="str">
        <x:v>Day 4</x:v>
      </x:c>
      <x:c r="G10" s="91" t="str">
        <x:v>Not Run</x:v>
      </x:c>
      <x:c r="H10" s="91" t="str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 t="str">
        <x:v>Q-010</x:v>
      </x:c>
      <x:c r="B11" s="91" t="str">
        <x:v>Data</x:v>
      </x:c>
      <x:c r="C11" s="91" t="str">
        <x:v>Denied field requested</x:v>
      </x:c>
      <x:c r="D11" s="91" t="str">
        <x:v>Filtered/denied; never exposed</x:v>
      </x:c>
      <x:c r="E11" s="91" t="str">
        <x:v>Pankaj</x:v>
      </x:c>
      <x:c r="F11" s="91" t="str">
        <x:v>Day 4</x:v>
      </x:c>
      <x:c r="G11" s="91" t="str">
        <x:v>Not Run</x:v>
      </x:c>
      <x:c r="H11" s="91" t="str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 t="str">
        <x:v>Q-011</x:v>
      </x:c>
      <x:c r="B12" s="91" t="str">
        <x:v>Data</x:v>
      </x:c>
      <x:c r="C12" s="91" t="str">
        <x:v>Masking obligation</x:v>
      </x:c>
      <x:c r="D12" s="91" t="str">
        <x:v>Masked before model/tool exposure</x:v>
      </x:c>
      <x:c r="E12" s="91" t="str">
        <x:v>Pankaj</x:v>
      </x:c>
      <x:c r="F12" s="91" t="str">
        <x:v>Day 5</x:v>
      </x:c>
      <x:c r="G12" s="91" t="str">
        <x:v>Not Run</x:v>
      </x:c>
      <x:c r="H12" s="91" t="str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 t="str">
        <x:v>Q-012</x:v>
      </x:c>
      <x:c r="B13" s="91" t="str">
        <x:v>Model</x:v>
      </x:c>
      <x:c r="C13" s="91" t="str">
        <x:v>Restricted data + prohibited provider</x:v>
      </x:c>
      <x:c r="D13" s="91" t="str">
        <x:v>Blocked before provider call</x:v>
      </x:c>
      <x:c r="E13" s="91" t="str">
        <x:v>Pankaj</x:v>
      </x:c>
      <x:c r="F13" s="91" t="str">
        <x:v>Day 5</x:v>
      </x:c>
      <x:c r="G13" s="91" t="str">
        <x:v>Not Run</x:v>
      </x:c>
      <x:c r="H13" s="91" t="str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 t="str">
        <x:v>Q-013</x:v>
      </x:c>
      <x:c r="B14" s="91" t="str">
        <x:v>Approval</x:v>
      </x:c>
      <x:c r="C14" s="91" t="str">
        <x:v>High-value request requires approval</x:v>
      </x:c>
      <x:c r="D14" s="91" t="str">
        <x:v>No execution before approval</x:v>
      </x:c>
      <x:c r="E14" s="91" t="str">
        <x:v>Pankaj</x:v>
      </x:c>
      <x:c r="F14" s="91" t="str">
        <x:v>Day 6</x:v>
      </x:c>
      <x:c r="G14" s="91" t="str">
        <x:v>Not Run</x:v>
      </x:c>
      <x:c r="H14" s="91" t="str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 t="str">
        <x:v>Q-014</x:v>
      </x:c>
      <x:c r="B15" s="91" t="str">
        <x:v>Authorization</x:v>
      </x:c>
      <x:c r="C15" s="91" t="str">
        <x:v>Request changed after approval</x:v>
      </x:c>
      <x:c r="D15" s="91" t="str">
        <x:v>Context hash mismatch; re-evaluate</x:v>
      </x:c>
      <x:c r="E15" s="91" t="str">
        <x:v>Pankaj</x:v>
      </x:c>
      <x:c r="F15" s="91" t="str">
        <x:v>Day 6</x:v>
      </x:c>
      <x:c r="G15" s="91" t="str">
        <x:v>Not Run</x:v>
      </x:c>
      <x:c r="H15" s="91" t="str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 t="str">
        <x:v>Q-015</x:v>
      </x:c>
      <x:c r="B16" s="91" t="str">
        <x:v>Authorization</x:v>
      </x:c>
      <x:c r="C16" s="91" t="str">
        <x:v>Replay single-use authorization</x:v>
      </x:c>
      <x:c r="D16" s="91" t="str">
        <x:v>Rejected</x:v>
      </x:c>
      <x:c r="E16" s="91" t="str">
        <x:v>Pankaj</x:v>
      </x:c>
      <x:c r="F16" s="91" t="str">
        <x:v>Day 6</x:v>
      </x:c>
      <x:c r="G16" s="91" t="str">
        <x:v>Not Run</x:v>
      </x:c>
      <x:c r="H16" s="91" t="str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 t="str">
        <x:v>Q-016</x:v>
      </x:c>
      <x:c r="B17" s="91" t="str">
        <x:v>Security</x:v>
      </x:c>
      <x:c r="C17" s="91" t="str">
        <x:v>Cross-tenant binding/permission query</x:v>
      </x:c>
      <x:c r="D17" s="91" t="str">
        <x:v>Blocked/no data</x:v>
      </x:c>
      <x:c r="E17" s="91" t="str">
        <x:v>Pankaj</x:v>
      </x:c>
      <x:c r="F17" s="91" t="str">
        <x:v>Day 6</x:v>
      </x:c>
      <x:c r="G17" s="91" t="str">
        <x:v>Not Run</x:v>
      </x:c>
      <x:c r="H17" s="91" t="str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 t="str">
        <x:v>Q-017</x:v>
      </x:c>
      <x:c r="B18" s="91" t="str">
        <x:v>Security</x:v>
      </x:c>
      <x:c r="C18" s="91" t="str">
        <x:v>Spoofed agent ID/runtime principal</x:v>
      </x:c>
      <x:c r="D18" s="91" t="str">
        <x:v>Rejected</x:v>
      </x:c>
      <x:c r="E18" s="91" t="str">
        <x:v>Pankaj</x:v>
      </x:c>
      <x:c r="F18" s="91" t="str">
        <x:v>Day 7</x:v>
      </x:c>
      <x:c r="G18" s="91" t="str">
        <x:v>Not Run</x:v>
      </x:c>
      <x:c r="H18" s="91" t="str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 t="str">
        <x:v>Q-018</x:v>
      </x:c>
      <x:c r="B19" s="91" t="str">
        <x:v>Resilience</x:v>
      </x:c>
      <x:c r="C19" s="91" t="str">
        <x:v>Cache unavailable</x:v>
      </x:c>
      <x:c r="D19" s="91" t="str">
        <x:v>Authoritative DB fallback; no bypass</x:v>
      </x:c>
      <x:c r="E19" s="91" t="str">
        <x:v>Pankaj</x:v>
      </x:c>
      <x:c r="F19" s="91" t="str">
        <x:v>Day 7</x:v>
      </x:c>
      <x:c r="G19" s="91" t="str">
        <x:v>Not Run</x:v>
      </x:c>
      <x:c r="H19" s="91" t="str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 t="str">
        <x:v>Q-019</x:v>
      </x:c>
      <x:c r="B20" s="91" t="str">
        <x:v>Resilience</x:v>
      </x:c>
      <x:c r="C20" s="91" t="str">
        <x:v>Policy engine timeout critical WRITE</x:v>
      </x:c>
      <x:c r="D20" s="91" t="str">
        <x:v>Fail closed</x:v>
      </x:c>
      <x:c r="E20" s="91" t="str">
        <x:v>Pankaj</x:v>
      </x:c>
      <x:c r="F20" s="91" t="str">
        <x:v>Day 7</x:v>
      </x:c>
      <x:c r="G20" s="91" t="str">
        <x:v>Not Run</x:v>
      </x:c>
      <x:c r="H20" s="91" t="str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 t="str">
        <x:v>Q-020</x:v>
      </x:c>
      <x:c r="B21" s="91" t="str">
        <x:v>Audit</x:v>
      </x:c>
      <x:c r="C21" s="91" t="str">
        <x:v>Complete runtime correlation</x:v>
      </x:c>
      <x:c r="D21" s="91" t="str">
        <x:v>Request-policy-approval-action events share correlation_id</x:v>
      </x:c>
      <x:c r="E21" s="91" t="str">
        <x:v>Pankaj</x:v>
      </x:c>
      <x:c r="F21" s="91" t="str">
        <x:v>Day 7</x:v>
      </x:c>
      <x:c r="G21" s="91" t="str">
        <x:v>Not Run</x:v>
      </x:c>
      <x:c r="H21" s="91" t="str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 t="str">
        <x:v>Q-021</x:v>
      </x:c>
      <x:c r="B22" s="91" t="str">
        <x:v>Frontend</x:v>
      </x:c>
      <x:c r="C22" s="91" t="str">
        <x:v>Simulation run</x:v>
      </x:c>
      <x:c r="D22" s="91" t="str">
        <x:v>No target side effect</x:v>
      </x:c>
      <x:c r="E22" s="91" t="str">
        <x:v>Pankaj</x:v>
      </x:c>
      <x:c r="F22" s="91" t="str">
        <x:v>Day 6</x:v>
      </x:c>
      <x:c r="G22" s="91" t="str">
        <x:v>Not Run</x:v>
      </x:c>
      <x:c r="H22" s="91" t="str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 t="str">
        <x:v>Q-022</x:v>
      </x:c>
      <x:c r="B23" s="91" t="str">
        <x:v>Regression</x:v>
      </x:c>
      <x:c r="C23" s="91" t="str">
        <x:v>Existing registry/workflow/relationship flow</x:v>
      </x:c>
      <x:c r="D23" s="91" t="str">
        <x:v>No critical regression</x:v>
      </x:c>
      <x:c r="E23" s="91" t="str">
        <x:v>Pankaj</x:v>
      </x:c>
      <x:c r="F23" s="91" t="str">
        <x:v>Day 7</x:v>
      </x:c>
      <x:c r="G23" s="91" t="str">
        <x:v>Not Run</x:v>
      </x:c>
      <x:c r="H23" s="91" t="str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conditionalFormatting sqref="G2:G100">
    <x:cfRule type="expression" dxfId="5" priority="1">
      <x:formula>$G2="Pass"</x:formula>
    </x:cfRule>
    <x:cfRule type="expression" dxfId="6" priority="2">
      <x:formula>$G2="Fail"</x:formula>
    </x:cfRule>
    <x:cfRule type="expression" dxfId="7" priority="3">
      <x:formula>$G2="Blocked"</x:formula>
    </x:cfRule>
  </x:conditionalFormatting>
  <x:dataValidations count="1">
    <x:dataValidation type="list" sqref="G2:G100">
      <x:formula1>Lists!$F$2:$F$6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ac9b42121c43a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34" hidden="0" customWidth="1"/>
    <x:col min="5" max="5" width="16" hidden="0" customWidth="1"/>
    <x:col min="6" max="6" width="14" hidden="0" customWidth="1"/>
    <x:col min="7" max="7" width="52" hidden="0" customWidth="1"/>
    <x:col min="8" max="8" width="14" hidden="0" customWidth="1"/>
    <x:col min="9" max="9" width="28" hidden="0" customWidth="1"/>
  </x:cols>
  <x:sheetData>
    <x:row r="1">
      <x:c r="A1" s="108" t="str">
        <x:v>ID</x:v>
      </x:c>
      <x:c r="B1" s="108" t="str">
        <x:v>Type</x:v>
      </x:c>
      <x:c r="C1" s="108" t="str">
        <x:v>Risk / Dependency</x:v>
      </x:c>
      <x:c r="D1" s="108" t="str">
        <x:v>Impact</x:v>
      </x:c>
      <x:c r="E1" s="108" t="str">
        <x:v>Owner</x:v>
      </x:c>
      <x:c r="F1" s="108" t="str">
        <x:v>Required By</x:v>
      </x:c>
      <x:c r="G1" s="108" t="str">
        <x:v>Mitigation / Decision</x:v>
      </x:c>
      <x:c r="H1" s="108" t="str">
        <x:v>Status</x:v>
      </x:c>
      <x:c r="I1" s="108" t="str">
        <x:v>Jitendra Action</x:v>
      </x:c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str">
        <x:v>R-01</x:v>
      </x:c>
      <x:c r="B2" s="91" t="str">
        <x:v>Dependency</x:v>
      </x:c>
      <x:c r="C2" s="91" t="str">
        <x:v>Existing approval service / 2-layer approval may be under separate development</x:v>
      </x:c>
      <x:c r="D2" s="91" t="str">
        <x:v>Runtime REQUIRE_APPROVAL integration may block E2E flow</x:v>
      </x:c>
      <x:c r="E2" s="91" t="str">
        <x:v>Jitendra</x:v>
      </x:c>
      <x:c r="F2" s="91" t="str">
        <x:v>17-Aug-2026</x:v>
      </x:c>
      <x:c r="G2" s="91" t="str">
        <x:v>Freeze adapter contract Day 1; use stub/mock if merge not ready; integration after stable API.</x:v>
      </x:c>
      <x:c r="H2" s="91" t="str">
        <x:v>Open</x:v>
      </x:c>
      <x:c r="I2" s="91" t="str">
        <x:v>Confirm owner/API today</x:v>
      </x:c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str">
        <x:v>R-02</x:v>
      </x:c>
      <x:c r="B3" s="91" t="str">
        <x:v>Dependency</x:v>
      </x:c>
      <x:c r="C3" s="91" t="str">
        <x:v>Step 4 event publisher/outbox availability</x:v>
      </x:c>
      <x:c r="D3" s="91" t="str">
        <x:v>Audit event integration delayed</x:v>
      </x:c>
      <x:c r="E3" s="91" t="str">
        <x:v>Aayush</x:v>
      </x:c>
      <x:c r="F3" s="91" t="str">
        <x:v>17-Aug-2026</x:v>
      </x:c>
      <x:c r="G3" s="91" t="str">
        <x:v>Use existing event publisher; if incomplete, wrap through interface and persist integration TODO without changing event contract.</x:v>
      </x:c>
      <x:c r="H3" s="91" t="str">
        <x:v>Open</x:v>
      </x:c>
      <x:c r="I3" s="91" t="str">
        <x:v>Confirm event service branch</x:v>
      </x:c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str">
        <x:v>R-03</x:v>
      </x:c>
      <x:c r="B4" s="91" t="str">
        <x:v>Risk</x:v>
      </x:c>
      <x:c r="C4" s="91" t="str">
        <x:v>Trying to build full enterprise policy authoring UX in one week</x:v>
      </x:c>
      <x:c r="D4" s="91" t="str">
        <x:v>Critical backend scope delayed</x:v>
      </x:c>
      <x:c r="E4" s="91" t="str">
        <x:v>Jitendra</x:v>
      </x:c>
      <x:c r="F4" s="91" t="str">
        <x:v>13-Aug-2026</x:v>
      </x:c>
      <x:c r="G4" s="91" t="str">
        <x:v>Limit frontend to developer/admin MVP: policy list/detail, binding, agent tabs, simulation/history.</x:v>
      </x:c>
      <x:c r="H4" s="91" t="str">
        <x:v>Open</x:v>
      </x:c>
      <x:c r="I4" s="91" t="str">
        <x:v>Protect scope</x:v>
      </x:c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 t="str">
        <x:v>R-04</x:v>
      </x:c>
      <x:c r="B5" s="91" t="str">
        <x:v>Risk</x:v>
      </x:c>
      <x:c r="C5" s="91" t="str">
        <x:v>Duplicate data model vs existing relationship/policy tables</x:v>
      </x:c>
      <x:c r="D5" s="91" t="str">
        <x:v>Future inconsistency</x:v>
      </x:c>
      <x:c r="E5" s="91" t="str">
        <x:v>Aayush</x:v>
      </x:c>
      <x:c r="F5" s="91" t="str">
        <x:v>13-Aug-2026</x:v>
      </x:c>
      <x:c r="G5" s="91" t="str">
        <x:v>Complete DB gap assessment before migrations; reuse canonical objects where stable.</x:v>
      </x:c>
      <x:c r="H5" s="91" t="str">
        <x:v>Open</x:v>
      </x:c>
      <x:c r="I5" s="91" t="str">
        <x:v>Approve migration list</x:v>
      </x:c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 t="str">
        <x:v>R-05</x:v>
      </x:c>
      <x:c r="B6" s="91" t="str">
        <x:v>Risk</x:v>
      </x:c>
      <x:c r="C6" s="91" t="str">
        <x:v>Arbitrary policy expression execution</x:v>
      </x:c>
      <x:c r="D6" s="91" t="str">
        <x:v>Security vulnerability</x:v>
      </x:c>
      <x:c r="E6" s="91" t="str">
        <x:v>Pankaj</x:v>
      </x:c>
      <x:c r="F6" s="91" t="str">
        <x:v>15-Aug-2026</x:v>
      </x:c>
      <x:c r="G6" s="91" t="str">
        <x:v>Only allow-listed condition AST/operators; never eval Python/JS.</x:v>
      </x:c>
      <x:c r="H6" s="91" t="str">
        <x:v>Open</x:v>
      </x:c>
      <x:c r="I6" s="91" t="str">
        <x:v>Security checkpoint</x:v>
      </x:c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 t="str">
        <x:v>R-06</x:v>
      </x:c>
      <x:c r="B7" s="91" t="str">
        <x:v>Risk</x:v>
      </x:c>
      <x:c r="C7" s="91" t="str">
        <x:v>Frontend or caller bypasses enforcement gateway</x:v>
      </x:c>
      <x:c r="D7" s="91" t="str">
        <x:v>Governance failure</x:v>
      </x:c>
      <x:c r="E7" s="91" t="str">
        <x:v>Pankaj</x:v>
      </x:c>
      <x:c r="F7" s="91" t="str">
        <x:v>17-Aug-2026</x:v>
      </x:c>
      <x:c r="G7" s="91" t="str">
        <x:v>Target adapters callable only through server-side enforcement service for governed operations.</x:v>
      </x:c>
      <x:c r="H7" s="91" t="str">
        <x:v>Open</x:v>
      </x:c>
      <x:c r="I7" s="91" t="str">
        <x:v>Architecture review</x:v>
      </x:c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 t="str">
        <x:v>R-07</x:v>
      </x:c>
      <x:c r="B8" s="91" t="str">
        <x:v>Risk</x:v>
      </x:c>
      <x:c r="C8" s="91" t="str">
        <x:v>Sensitive fields copied into events/logs</x:v>
      </x:c>
      <x:c r="D8" s="91" t="str">
        <x:v>Privacy exposure</x:v>
      </x:c>
      <x:c r="E8" s="91" t="str">
        <x:v>Pankaj</x:v>
      </x:c>
      <x:c r="F8" s="91" t="str">
        <x:v>18-Aug-2026</x:v>
      </x:c>
      <x:c r="G8" s="91" t="str">
        <x:v>Store references/normalized facts only; masking rules; explicit negative test.</x:v>
      </x:c>
      <x:c r="H8" s="91" t="str">
        <x:v>Open</x:v>
      </x:c>
      <x:c r="I8" s="91" t="str">
        <x:v>Review event payload</x:v>
      </x:c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 t="str">
        <x:v>R-08</x:v>
      </x:c>
      <x:c r="B9" s="91" t="str">
        <x:v>Risk</x:v>
      </x:c>
      <x:c r="C9" s="91" t="str">
        <x:v>Cache returns stale permission after revoke/kill switch</x:v>
      </x:c>
      <x:c r="D9" s="91" t="str">
        <x:v>Unauthorized execution</x:v>
      </x:c>
      <x:c r="E9" s="91" t="str">
        <x:v>Aayush</x:v>
      </x:c>
      <x:c r="F9" s="91" t="str">
        <x:v>19-Aug-2026</x:v>
      </x:c>
      <x:c r="G9" s="91" t="str">
        <x:v>Invalidate on critical changes; immediate DB/recheck for high-risk execute path.</x:v>
      </x:c>
      <x:c r="H9" s="91" t="str">
        <x:v>Open</x:v>
      </x:c>
      <x:c r="I9" s="91" t="str">
        <x:v>Resilience check</x:v>
      </x:c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 t="str">
        <x:v>R-09</x:v>
      </x:c>
      <x:c r="B10" s="91" t="str">
        <x:v>Risk</x:v>
      </x:c>
      <x:c r="C10" s="91" t="str">
        <x:v>One-week schedule leaves limited UI polish</x:v>
      </x:c>
      <x:c r="D10" s="91" t="str">
        <x:v>User experience not production-ready</x:v>
      </x:c>
      <x:c r="E10" s="91" t="str">
        <x:v>Jitendra</x:v>
      </x:c>
      <x:c r="F10" s="91" t="str">
        <x:v>19-Aug-2026</x:v>
      </x:c>
      <x:c r="G10" s="91" t="str">
        <x:v>Accept developer/admin MVP; capture UI polish in next sprint.</x:v>
      </x:c>
      <x:c r="H10" s="91" t="str">
        <x:v>Open</x:v>
      </x:c>
      <x:c r="I10" s="91" t="str">
        <x:v>Set expectation</x:v>
      </x:c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/>
      <x:c r="B11" s="91"/>
      <x:c r="C11" s="91"/>
      <x:c r="D11" s="91"/>
      <x:c r="E11" s="91"/>
      <x:c r="F11" s="91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/>
      <x:c r="B12" s="91"/>
      <x:c r="C12" s="91"/>
      <x:c r="D12" s="91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/>
      <x:c r="B14" s="91"/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pageMargins left="0.7" right="0.7" top="0.75" bottom="0.75" header="0.3" footer="0.3"/>
  <x:tableParts count="1">
    <x:tablePart xmlns:r="http://schemas.openxmlformats.org/officeDocument/2006/relationships" r:id="R0571ac4159b8422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16" hidden="0" customWidth="1"/>
    <x:col min="4" max="4" width="12" hidden="0" customWidth="1"/>
    <x:col min="5" max="5" width="16" hidden="0" customWidth="1"/>
    <x:col min="6" max="6" width="42" hidden="0" customWidth="1"/>
  </x:cols>
  <x:sheetData>
    <x:row r="1">
      <x:c r="A1" s="110" t="str">
        <x:v>#</x:v>
      </x:c>
      <x:c r="B1" s="110" t="str">
        <x:v>Handover Artifact</x:v>
      </x:c>
      <x:c r="C1" s="110" t="str">
        <x:v>Owner</x:v>
      </x:c>
      <x:c r="D1" s="110" t="str">
        <x:v>Required</x:v>
      </x:c>
      <x:c r="E1" s="110" t="str">
        <x:v>Status</x:v>
      </x:c>
      <x:c r="F1" s="110" t="str">
        <x:v>Location / Notes</x:v>
      </x:c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n">
        <x:v>1</x:v>
      </x:c>
      <x:c r="B2" s="91" t="str">
        <x:v>DB migrations + rollback scripts</x:v>
      </x:c>
      <x:c r="C2" s="91" t="str">
        <x:v>Aayush</x:v>
      </x:c>
      <x:c r="D2" s="91" t="str">
        <x:v>Yes</x:v>
      </x:c>
      <x:c r="E2" s="91" t="str">
        <x:v>Not Started</x:v>
      </x:c>
      <x:c r="F2" s="91" t="str"/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n">
        <x:v>2</x:v>
      </x:c>
      <x:c r="B3" s="91" t="str">
        <x:v>Reference seed data / pilot sample data</x:v>
      </x:c>
      <x:c r="C3" s="91" t="str">
        <x:v>Aayush</x:v>
      </x:c>
      <x:c r="D3" s="91" t="str">
        <x:v>Yes</x:v>
      </x:c>
      <x:c r="E3" s="91" t="str">
        <x:v>Not Started</x:v>
      </x:c>
      <x:c r="F3" s="91" t="str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n">
        <x:v>3</x:v>
      </x:c>
      <x:c r="B4" s="91" t="str">
        <x:v>OpenAPI contracts + example payloads</x:v>
      </x:c>
      <x:c r="C4" s="91" t="str">
        <x:v>Pankaj</x:v>
      </x:c>
      <x:c r="D4" s="91" t="str">
        <x:v>Yes</x:v>
      </x:c>
      <x:c r="E4" s="91" t="str">
        <x:v>Not Started</x:v>
      </x:c>
      <x:c r="F4" s="91" t="str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 t="n">
        <x:v>4</x:v>
      </x:c>
      <x:c r="B5" s="91" t="str">
        <x:v>Policy rule/operator schema</x:v>
      </x:c>
      <x:c r="C5" s="91" t="str">
        <x:v>Pankaj</x:v>
      </x:c>
      <x:c r="D5" s="91" t="str">
        <x:v>Yes</x:v>
      </x:c>
      <x:c r="E5" s="91" t="str">
        <x:v>Not Started</x:v>
      </x:c>
      <x:c r="F5" s="91" t="str"/>
      <x:c r="G5" s="91"/>
      <x:c r="H5" s="91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 t="n">
        <x:v>5</x:v>
      </x:c>
      <x:c r="B6" s="91" t="str">
        <x:v>Binding resolution precedence documented</x:v>
      </x:c>
      <x:c r="C6" s="91" t="str">
        <x:v>Pankaj</x:v>
      </x:c>
      <x:c r="D6" s="91" t="str">
        <x:v>Yes</x:v>
      </x:c>
      <x:c r="E6" s="91" t="str">
        <x:v>Not Started</x:v>
      </x:c>
      <x:c r="F6" s="91" t="str"/>
      <x:c r="G6" s="91"/>
      <x:c r="H6" s="91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 t="n">
        <x:v>6</x:v>
      </x:c>
      <x:c r="B7" s="91" t="str">
        <x:v>Agent boundary/tool/data permission API examples</x:v>
      </x:c>
      <x:c r="C7" s="91" t="str">
        <x:v>Aayush</x:v>
      </x:c>
      <x:c r="D7" s="91" t="str">
        <x:v>Yes</x:v>
      </x:c>
      <x:c r="E7" s="91" t="str">
        <x:v>Not Started</x:v>
      </x:c>
      <x:c r="F7" s="91" t="str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 t="n">
        <x:v>7</x:v>
      </x:c>
      <x:c r="B8" s="91" t="str">
        <x:v>Runtime Enforcement Gateway sequence/runbook</x:v>
      </x:c>
      <x:c r="C8" s="91" t="str">
        <x:v>Pankaj</x:v>
      </x:c>
      <x:c r="D8" s="91" t="str">
        <x:v>Yes</x:v>
      </x:c>
      <x:c r="E8" s="91" t="str">
        <x:v>Not Started</x:v>
      </x:c>
      <x:c r="F8" s="91" t="str"/>
      <x:c r="G8" s="91"/>
      <x:c r="H8" s="91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 t="n">
        <x:v>8</x:v>
      </x:c>
      <x:c r="B9" s="91" t="str">
        <x:v>Approval/exception adapter contract</x:v>
      </x:c>
      <x:c r="C9" s="91" t="str">
        <x:v>Aayush</x:v>
      </x:c>
      <x:c r="D9" s="91" t="str">
        <x:v>Yes</x:v>
      </x:c>
      <x:c r="E9" s="91" t="str">
        <x:v>Not Started</x:v>
      </x:c>
      <x:c r="F9" s="91" t="str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 t="n">
        <x:v>9</x:v>
      </x:c>
      <x:c r="B10" s="91" t="str">
        <x:v>Event catalogue extensions / schema registry updates</x:v>
      </x:c>
      <x:c r="C10" s="91" t="str">
        <x:v>Aayush</x:v>
      </x:c>
      <x:c r="D10" s="91" t="str">
        <x:v>Yes</x:v>
      </x:c>
      <x:c r="E10" s="91" t="str">
        <x:v>Not Started</x:v>
      </x:c>
      <x:c r="F10" s="91" t="str"/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 t="n">
        <x:v>10</x:v>
      </x:c>
      <x:c r="B11" s="91" t="str">
        <x:v>Frontend route/component list</x:v>
      </x:c>
      <x:c r="C11" s="91" t="str">
        <x:v>Aayush</x:v>
      </x:c>
      <x:c r="D11" s="91" t="str">
        <x:v>Yes</x:v>
      </x:c>
      <x:c r="E11" s="91" t="str">
        <x:v>Not Started</x:v>
      </x:c>
      <x:c r="F11" s="91" t="str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 t="n">
        <x:v>11</x:v>
      </x:c>
      <x:c r="B12" s="91" t="str">
        <x:v>QA evidence / automated test report</x:v>
      </x:c>
      <x:c r="C12" s="91" t="str">
        <x:v>Pankaj</x:v>
      </x:c>
      <x:c r="D12" s="91" t="str">
        <x:v>Yes</x:v>
      </x:c>
      <x:c r="E12" s="91" t="str">
        <x:v>Not Started</x:v>
      </x:c>
      <x:c r="F12" s="91" t="str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 t="n">
        <x:v>12</x:v>
      </x:c>
      <x:c r="B13" s="91" t="str">
        <x:v>Security and fail-closed test evidence</x:v>
      </x:c>
      <x:c r="C13" s="91" t="str">
        <x:v>Pankaj</x:v>
      </x:c>
      <x:c r="D13" s="91" t="str">
        <x:v>Yes</x:v>
      </x:c>
      <x:c r="E13" s="91" t="str">
        <x:v>Not Started</x:v>
      </x:c>
      <x:c r="F13" s="91" t="str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 t="n">
        <x:v>13</x:v>
      </x:c>
      <x:c r="B14" s="91" t="str">
        <x:v>Known issues / deferred backlog</x:v>
      </x:c>
      <x:c r="C14" s="91" t="str">
        <x:v>Jitendra</x:v>
      </x:c>
      <x:c r="D14" s="91" t="str">
        <x:v>Yes</x:v>
      </x:c>
      <x:c r="E14" s="91" t="str">
        <x:v>Not Started</x:v>
      </x:c>
      <x:c r="F14" s="91" t="str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 t="n">
        <x:v>14</x:v>
      </x:c>
      <x:c r="B15" s="91" t="str">
        <x:v>Deployment / rollback / configuration notes</x:v>
      </x:c>
      <x:c r="C15" s="91" t="str">
        <x:v>Aayush</x:v>
      </x:c>
      <x:c r="D15" s="91" t="str">
        <x:v>Yes</x:v>
      </x:c>
      <x:c r="E15" s="91" t="str">
        <x:v>Not Started</x:v>
      </x:c>
      <x:c r="F15" s="91" t="str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 t="n">
        <x:v>15</x:v>
      </x:c>
      <x:c r="B16" s="91" t="str">
        <x:v>Final UAT sign-off</x:v>
      </x:c>
      <x:c r="C16" s="91" t="str">
        <x:v>Jitendra</x:v>
      </x:c>
      <x:c r="D16" s="91" t="str">
        <x:v>Yes</x:v>
      </x:c>
      <x:c r="E16" s="91" t="str">
        <x:v>Not Started</x:v>
      </x:c>
      <x:c r="F16" s="91" t="str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dataValidations count="1">
    <x:dataValidation type="list" sqref="E2:E100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2b1482f2e94b2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</x:cols>
  <x:sheetData>
    <x:row r="1">
      <x:c r="A1" s="106" t="str">
        <x:v>Status</x:v>
      </x:c>
      <x:c r="B1" s="106" t="str">
        <x:v>Priority</x:v>
      </x:c>
      <x:c r="C1" s="106" t="str">
        <x:v>Owner</x:v>
      </x:c>
      <x:c r="D1" s="106" t="str">
        <x:v>Workstream</x:v>
      </x:c>
      <x:c r="E1" s="106" t="str">
        <x:v>RACI</x:v>
      </x:c>
      <x:c r="F1" s="106" t="str">
        <x:v>Test Status</x:v>
      </x:c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>
      <x:c r="A2" s="91" t="str">
        <x:v>Not Started</x:v>
      </x:c>
      <x:c r="B2" s="91" t="str">
        <x:v>Critical</x:v>
      </x:c>
      <x:c r="C2" s="91" t="str">
        <x:v>Jitendra</x:v>
      </x:c>
      <x:c r="D2" s="91" t="str">
        <x:v>Project Management</x:v>
      </x:c>
      <x:c r="E2" s="91" t="str">
        <x:v>R</x:v>
      </x:c>
      <x:c r="F2" s="91" t="str">
        <x:v>Not Run</x:v>
      </x:c>
      <x:c r="G2" s="91"/>
      <x:c r="H2" s="91"/>
      <x:c r="I2" s="91"/>
      <x:c r="J2" s="91"/>
      <x:c r="K2" s="91"/>
      <x:c r="L2" s="91"/>
      <x:c r="M2" s="91"/>
      <x:c r="N2" s="91"/>
      <x:c r="O2" s="91"/>
      <x:c r="P2" s="91"/>
      <x:c r="Q2" s="91"/>
      <x:c r="R2" s="91"/>
      <x:c r="S2" s="91"/>
      <x:c r="T2" s="91"/>
      <x:c r="U2" s="91"/>
      <x:c r="V2" s="91"/>
      <x:c r="W2" s="91"/>
      <x:c r="X2" s="91"/>
      <x:c r="Y2" s="91"/>
      <x:c r="Z2" s="91"/>
    </x:row>
    <x:row r="3">
      <x:c r="A3" s="91" t="str">
        <x:v>In Progress</x:v>
      </x:c>
      <x:c r="B3" s="91" t="str">
        <x:v>High</x:v>
      </x:c>
      <x:c r="C3" s="91" t="str">
        <x:v>Aayush</x:v>
      </x:c>
      <x:c r="D3" s="91" t="str">
        <x:v>Architecture</x:v>
      </x:c>
      <x:c r="E3" s="91" t="str">
        <x:v>A</x:v>
      </x:c>
      <x:c r="F3" s="91" t="str">
        <x:v>Pass</x:v>
      </x:c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</x:row>
    <x:row r="4">
      <x:c r="A4" s="91" t="str">
        <x:v>Blocked</x:v>
      </x:c>
      <x:c r="B4" s="91" t="str">
        <x:v>Medium</x:v>
      </x:c>
      <x:c r="C4" s="91" t="str">
        <x:v>Pankaj</x:v>
      </x:c>
      <x:c r="D4" s="91" t="str">
        <x:v>Database</x:v>
      </x:c>
      <x:c r="E4" s="91" t="str">
        <x:v>C</x:v>
      </x:c>
      <x:c r="F4" s="91" t="str">
        <x:v>Fail</x:v>
      </x:c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</x:row>
    <x:row r="5">
      <x:c r="A5" s="91" t="str">
        <x:v>At Risk</x:v>
      </x:c>
      <x:c r="B5" s="91" t="str">
        <x:v>Low</x:v>
      </x:c>
      <x:c r="C5" s="91" t="str">
        <x:v>Aayush + Pankaj</x:v>
      </x:c>
      <x:c r="D5" s="91" t="str">
        <x:v>Backend Core</x:v>
      </x:c>
      <x:c r="E5" s="91" t="str">
        <x:v>I</x:v>
      </x:c>
      <x:c r="F5" s="91" t="str">
        <x:v>Blocked</x:v>
      </x:c>
      <x:c r="G5" s="91"/>
      <x:c r="H5" s="91"/>
      <x:c r="I5" s="91"/>
      <x:c r="J5" s="91"/>
      <x:c r="K5" s="91"/>
      <x:c r="L5" s="91"/>
      <x:c r="M5" s="91"/>
      <x:c r="N5" s="91"/>
      <x:c r="O5" s="91"/>
      <x:c r="P5" s="91"/>
      <x:c r="Q5" s="91"/>
      <x:c r="R5" s="91"/>
      <x:c r="S5" s="91"/>
      <x:c r="T5" s="91"/>
      <x:c r="U5" s="91"/>
      <x:c r="V5" s="91"/>
      <x:c r="W5" s="91"/>
      <x:c r="X5" s="91"/>
      <x:c r="Y5" s="91"/>
      <x:c r="Z5" s="91"/>
    </x:row>
    <x:row r="6">
      <x:c r="A6" s="91" t="str">
        <x:v>Completed</x:v>
      </x:c>
      <x:c r="B6" s="91"/>
      <x:c r="C6" s="91"/>
      <x:c r="D6" s="91" t="str">
        <x:v>Policy Engine</x:v>
      </x:c>
      <x:c r="E6" s="91"/>
      <x:c r="F6" s="91" t="str">
        <x:v>Retest</x:v>
      </x:c>
      <x:c r="G6" s="91"/>
      <x:c r="H6" s="91"/>
      <x:c r="I6" s="91"/>
      <x:c r="J6" s="91"/>
      <x:c r="K6" s="91"/>
      <x:c r="L6" s="91"/>
      <x:c r="M6" s="91"/>
      <x:c r="N6" s="91"/>
      <x:c r="O6" s="91"/>
      <x:c r="P6" s="91"/>
      <x:c r="Q6" s="91"/>
      <x:c r="R6" s="91"/>
      <x:c r="S6" s="91"/>
      <x:c r="T6" s="91"/>
      <x:c r="U6" s="91"/>
      <x:c r="V6" s="91"/>
      <x:c r="W6" s="91"/>
      <x:c r="X6" s="91"/>
      <x:c r="Y6" s="91"/>
      <x:c r="Z6" s="91"/>
    </x:row>
    <x:row r="7">
      <x:c r="A7" s="91" t="str">
        <x:v>Deferred</x:v>
      </x:c>
      <x:c r="B7" s="91"/>
      <x:c r="C7" s="91"/>
      <x:c r="D7" s="91" t="str">
        <x:v>Enforcement</x:v>
      </x:c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  <x:c r="S7" s="91"/>
      <x:c r="T7" s="91"/>
      <x:c r="U7" s="91"/>
      <x:c r="V7" s="91"/>
      <x:c r="W7" s="91"/>
      <x:c r="X7" s="91"/>
      <x:c r="Y7" s="91"/>
      <x:c r="Z7" s="91"/>
    </x:row>
    <x:row r="8">
      <x:c r="A8" s="91" t="str">
        <x:v>On Hold</x:v>
      </x:c>
      <x:c r="B8" s="91"/>
      <x:c r="C8" s="91"/>
      <x:c r="D8" s="91" t="str">
        <x:v>Frontend</x:v>
      </x:c>
      <x:c r="E8" s="91"/>
      <x:c r="F8" s="91"/>
      <x:c r="G8" s="91"/>
      <x:c r="H8" s="91"/>
      <x:c r="I8" s="91"/>
      <x:c r="J8" s="91"/>
      <x:c r="K8" s="91"/>
      <x:c r="L8" s="91"/>
      <x:c r="M8" s="91"/>
      <x:c r="N8" s="91"/>
      <x:c r="O8" s="91"/>
      <x:c r="P8" s="91"/>
      <x:c r="Q8" s="91"/>
      <x:c r="R8" s="91"/>
      <x:c r="S8" s="91"/>
      <x:c r="T8" s="91"/>
      <x:c r="U8" s="91"/>
      <x:c r="V8" s="91"/>
      <x:c r="W8" s="91"/>
      <x:c r="X8" s="91"/>
      <x:c r="Y8" s="91"/>
      <x:c r="Z8" s="91"/>
    </x:row>
    <x:row r="9">
      <x:c r="A9" s="91"/>
      <x:c r="B9" s="91"/>
      <x:c r="C9" s="91"/>
      <x:c r="D9" s="91" t="str">
        <x:v>Integration</x:v>
      </x:c>
      <x:c r="E9" s="91"/>
      <x:c r="F9" s="91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  <x:c r="W9" s="91"/>
      <x:c r="X9" s="91"/>
      <x:c r="Y9" s="91"/>
      <x:c r="Z9" s="91"/>
    </x:row>
    <x:row r="10">
      <x:c r="A10" s="91"/>
      <x:c r="B10" s="91"/>
      <x:c r="C10" s="91"/>
      <x:c r="D10" s="91" t="str">
        <x:v>QA</x:v>
      </x:c>
      <x:c r="E10" s="91"/>
      <x:c r="F10" s="91"/>
      <x:c r="G10" s="91"/>
      <x:c r="H10" s="91"/>
      <x:c r="I10" s="91"/>
      <x:c r="J10" s="91"/>
      <x:c r="K10" s="91"/>
      <x:c r="L10" s="91"/>
      <x:c r="M10" s="91"/>
      <x:c r="N10" s="91"/>
      <x:c r="O10" s="91"/>
      <x:c r="P10" s="91"/>
      <x:c r="Q10" s="91"/>
      <x:c r="R10" s="91"/>
      <x:c r="S10" s="91"/>
      <x:c r="T10" s="91"/>
      <x:c r="U10" s="91"/>
      <x:c r="V10" s="91"/>
      <x:c r="W10" s="91"/>
      <x:c r="X10" s="91"/>
      <x:c r="Y10" s="91"/>
      <x:c r="Z10" s="91"/>
    </x:row>
    <x:row r="11">
      <x:c r="A11" s="91"/>
      <x:c r="B11" s="91"/>
      <x:c r="C11" s="91"/>
      <x:c r="D11" s="91" t="str">
        <x:v>Security</x:v>
      </x:c>
      <x:c r="E11" s="91"/>
      <x:c r="F11" s="91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  <x:c r="Q11" s="91"/>
      <x:c r="R11" s="91"/>
      <x:c r="S11" s="91"/>
      <x:c r="T11" s="91"/>
      <x:c r="U11" s="91"/>
      <x:c r="V11" s="91"/>
      <x:c r="W11" s="91"/>
      <x:c r="X11" s="91"/>
      <x:c r="Y11" s="91"/>
      <x:c r="Z11" s="91"/>
    </x:row>
    <x:row r="12">
      <x:c r="A12" s="91"/>
      <x:c r="B12" s="91"/>
      <x:c r="C12" s="91"/>
      <x:c r="D12" s="91" t="str">
        <x:v>Documentation</x:v>
      </x:c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/>
      <x:c r="Y12" s="91"/>
      <x:c r="Z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1"/>
      <x:c r="R13" s="91"/>
      <x:c r="S13" s="91"/>
      <x:c r="T13" s="91"/>
      <x:c r="U13" s="91"/>
      <x:c r="V13" s="91"/>
      <x:c r="W13" s="91"/>
      <x:c r="X13" s="91"/>
      <x:c r="Y13" s="91"/>
      <x:c r="Z13" s="91"/>
    </x:row>
    <x:row r="14">
      <x:c r="A14" s="91"/>
      <x:c r="B14" s="91"/>
      <x:c r="C14" s="91"/>
      <x:c r="D14" s="91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1"/>
      <x:c r="R14" s="91"/>
      <x:c r="S14" s="91"/>
      <x:c r="T14" s="91"/>
      <x:c r="U14" s="91"/>
      <x:c r="V14" s="91"/>
      <x:c r="W14" s="91"/>
      <x:c r="X14" s="91"/>
      <x:c r="Y14" s="91"/>
      <x:c r="Z14" s="91"/>
    </x:row>
    <x:row r="15">
      <x:c r="A15" s="91"/>
      <x:c r="B15" s="91"/>
      <x:c r="C15" s="91"/>
      <x:c r="D15" s="91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1"/>
      <x:c r="R15" s="91"/>
      <x:c r="S15" s="91"/>
      <x:c r="T15" s="91"/>
      <x:c r="U15" s="91"/>
      <x:c r="V15" s="91"/>
      <x:c r="W15" s="91"/>
      <x:c r="X15" s="91"/>
      <x:c r="Y15" s="91"/>
      <x:c r="Z15" s="91"/>
    </x:row>
    <x:row r="16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1"/>
      <x:c r="R16" s="91"/>
      <x:c r="S16" s="91"/>
      <x:c r="T16" s="91"/>
      <x:c r="U16" s="91"/>
      <x:c r="V16" s="91"/>
      <x:c r="W16" s="91"/>
      <x:c r="X16" s="91"/>
      <x:c r="Y16" s="91"/>
      <x:c r="Z16" s="91"/>
    </x:row>
    <x:row r="17">
      <x:c r="A17" s="91"/>
      <x:c r="B17" s="91"/>
      <x:c r="C17" s="91"/>
      <x:c r="D17" s="91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1"/>
      <x:c r="R17" s="91"/>
      <x:c r="S17" s="91"/>
      <x:c r="T17" s="91"/>
      <x:c r="U17" s="91"/>
      <x:c r="V17" s="91"/>
      <x:c r="W17" s="91"/>
      <x:c r="X17" s="91"/>
      <x:c r="Y17" s="91"/>
      <x:c r="Z17" s="91"/>
    </x:row>
    <x:row r="18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</x:row>
    <x:row r="19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</x:row>
    <x:row r="20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</x:row>
    <x:row r="2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</x:row>
    <x:row r="22">
      <x:c r="A22" s="91"/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1"/>
      <x:c r="R22" s="91"/>
      <x:c r="S22" s="91"/>
      <x:c r="T22" s="91"/>
      <x:c r="U22" s="91"/>
      <x:c r="V22" s="91"/>
      <x:c r="W22" s="91"/>
      <x:c r="X22" s="91"/>
      <x:c r="Y22" s="91"/>
      <x:c r="Z22" s="91"/>
    </x:row>
    <x:row r="23">
      <x:c r="A23" s="91"/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1"/>
      <x:c r="R23" s="91"/>
      <x:c r="S23" s="91"/>
      <x:c r="T23" s="91"/>
      <x:c r="U23" s="91"/>
      <x:c r="V23" s="91"/>
      <x:c r="W23" s="91"/>
      <x:c r="X23" s="91"/>
      <x:c r="Y23" s="91"/>
      <x:c r="Z23" s="91"/>
    </x:row>
    <x:row r="24">
      <x:c r="A24" s="91"/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91"/>
      <x:c r="W24" s="91"/>
      <x:c r="X24" s="91"/>
      <x:c r="Y24" s="91"/>
      <x:c r="Z24" s="91"/>
    </x:row>
    <x:row r="25">
      <x:c r="A25" s="91"/>
      <x:c r="B25" s="91"/>
      <x:c r="C25" s="91"/>
      <x:c r="D25" s="91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91"/>
      <x:c r="W25" s="91"/>
      <x:c r="X25" s="91"/>
      <x:c r="Y25" s="91"/>
      <x:c r="Z25" s="91"/>
    </x:row>
    <x:row r="26">
      <x:c r="A26" s="91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91"/>
      <x:c r="W26" s="91"/>
      <x:c r="X26" s="91"/>
      <x:c r="Y26" s="91"/>
      <x:c r="Z26" s="91"/>
    </x:row>
    <x:row r="27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/>
      <x:c r="W27" s="91"/>
      <x:c r="X27" s="91"/>
      <x:c r="Y27" s="91"/>
      <x:c r="Z27" s="91"/>
    </x:row>
    <x:row r="28">
      <x:c r="A28" s="91"/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1"/>
      <x:c r="R28" s="91"/>
      <x:c r="S28" s="91"/>
      <x:c r="T28" s="91"/>
      <x:c r="U28" s="91"/>
      <x:c r="V28" s="91"/>
      <x:c r="W28" s="91"/>
      <x:c r="X28" s="91"/>
      <x:c r="Y28" s="91"/>
      <x:c r="Z28" s="91"/>
    </x:row>
    <x:row r="29">
      <x:c r="A29" s="91"/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1"/>
      <x:c r="R29" s="91"/>
      <x:c r="S29" s="91"/>
      <x:c r="T29" s="91"/>
      <x:c r="U29" s="91"/>
      <x:c r="V29" s="91"/>
      <x:c r="W29" s="91"/>
      <x:c r="X29" s="91"/>
      <x:c r="Y29" s="91"/>
      <x:c r="Z29" s="91"/>
    </x:row>
    <x:row r="30">
      <x:c r="A30" s="91"/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1"/>
      <x:c r="R30" s="91"/>
      <x:c r="S30" s="91"/>
      <x:c r="T30" s="91"/>
      <x:c r="U30" s="91"/>
      <x:c r="V30" s="91"/>
      <x:c r="W30" s="91"/>
      <x:c r="X30" s="91"/>
      <x:c r="Y30" s="91"/>
      <x:c r="Z30" s="91"/>
    </x:row>
    <x:row r="31">
      <x:c r="A31" s="91"/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</x:row>
    <x:row r="32">
      <x:c r="A32" s="91"/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1"/>
      <x:c r="R32" s="91"/>
      <x:c r="S32" s="91"/>
      <x:c r="T32" s="91"/>
      <x:c r="U32" s="91"/>
      <x:c r="V32" s="91"/>
      <x:c r="W32" s="91"/>
      <x:c r="X32" s="91"/>
      <x:c r="Y32" s="91"/>
      <x:c r="Z32" s="91"/>
    </x:row>
    <x:row r="33">
      <x:c r="A33" s="91"/>
      <x:c r="B33" s="91"/>
      <x:c r="C33" s="91"/>
      <x:c r="D33" s="91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1"/>
      <x:c r="R33" s="91"/>
      <x:c r="S33" s="91"/>
      <x:c r="T33" s="91"/>
      <x:c r="U33" s="91"/>
      <x:c r="V33" s="91"/>
      <x:c r="W33" s="91"/>
      <x:c r="X33" s="91"/>
      <x:c r="Y33" s="91"/>
      <x:c r="Z33" s="91"/>
    </x:row>
    <x:row r="34">
      <x:c r="A34" s="91"/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</x:row>
    <x:row r="35">
      <x:c r="A35" s="91"/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1"/>
      <x:c r="R35" s="91"/>
      <x:c r="S35" s="91"/>
      <x:c r="T35" s="91"/>
      <x:c r="U35" s="91"/>
      <x:c r="V35" s="91"/>
      <x:c r="W35" s="91"/>
      <x:c r="X35" s="91"/>
      <x:c r="Y35" s="91"/>
      <x:c r="Z35" s="91"/>
    </x:row>
    <x:row r="36">
      <x:c r="A36" s="91"/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1"/>
      <x:c r="R36" s="91"/>
      <x:c r="S36" s="91"/>
      <x:c r="T36" s="91"/>
      <x:c r="U36" s="91"/>
      <x:c r="V36" s="91"/>
      <x:c r="W36" s="91"/>
      <x:c r="X36" s="91"/>
      <x:c r="Y36" s="91"/>
      <x:c r="Z36" s="91"/>
    </x:row>
    <x:row r="37">
      <x:c r="A37" s="91"/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1"/>
      <x:c r="R37" s="91"/>
      <x:c r="S37" s="91"/>
      <x:c r="T37" s="91"/>
      <x:c r="U37" s="91"/>
      <x:c r="V37" s="91"/>
      <x:c r="W37" s="91"/>
      <x:c r="X37" s="91"/>
      <x:c r="Y37" s="91"/>
      <x:c r="Z37" s="91"/>
    </x:row>
    <x:row r="38">
      <x:c r="A38" s="91"/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1"/>
      <x:c r="R38" s="91"/>
      <x:c r="S38" s="91"/>
      <x:c r="T38" s="91"/>
      <x:c r="U38" s="91"/>
      <x:c r="V38" s="91"/>
      <x:c r="W38" s="91"/>
      <x:c r="X38" s="91"/>
      <x:c r="Y38" s="91"/>
      <x:c r="Z38" s="91"/>
    </x:row>
    <x:row r="39">
      <x:c r="A39" s="91"/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1"/>
      <x:c r="R39" s="91"/>
      <x:c r="S39" s="91"/>
      <x:c r="T39" s="91"/>
      <x:c r="U39" s="91"/>
      <x:c r="V39" s="91"/>
      <x:c r="W39" s="91"/>
      <x:c r="X39" s="91"/>
      <x:c r="Y39" s="91"/>
      <x:c r="Z39" s="91"/>
    </x:row>
    <x:row r="40">
      <x:c r="A40" s="91"/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1"/>
      <x:c r="R40" s="91"/>
      <x:c r="S40" s="91"/>
      <x:c r="T40" s="91"/>
      <x:c r="U40" s="91"/>
      <x:c r="V40" s="91"/>
      <x:c r="W40" s="91"/>
      <x:c r="X40" s="91"/>
      <x:c r="Y40" s="91"/>
      <x:c r="Z40" s="91"/>
    </x:row>
    <x:row r="4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1"/>
      <x:c r="R41" s="91"/>
      <x:c r="S41" s="91"/>
      <x:c r="T41" s="91"/>
      <x:c r="U41" s="91"/>
      <x:c r="V41" s="91"/>
      <x:c r="W41" s="91"/>
      <x:c r="X41" s="91"/>
      <x:c r="Y41" s="91"/>
      <x:c r="Z41" s="91"/>
    </x:row>
    <x:row r="42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1"/>
      <x:c r="R42" s="91"/>
      <x:c r="S42" s="91"/>
      <x:c r="T42" s="91"/>
      <x:c r="U42" s="91"/>
      <x:c r="V42" s="91"/>
      <x:c r="W42" s="91"/>
      <x:c r="X42" s="91"/>
      <x:c r="Y42" s="91"/>
      <x:c r="Z42" s="91"/>
    </x:row>
    <x:row r="43">
      <x:c r="A43" s="91"/>
      <x:c r="B43" s="91"/>
      <x:c r="C43" s="91"/>
      <x:c r="D43" s="91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1"/>
      <x:c r="R43" s="91"/>
      <x:c r="S43" s="91"/>
      <x:c r="T43" s="91"/>
      <x:c r="U43" s="91"/>
      <x:c r="V43" s="91"/>
      <x:c r="W43" s="91"/>
      <x:c r="X43" s="91"/>
      <x:c r="Y43" s="91"/>
      <x:c r="Z43" s="91"/>
    </x:row>
    <x:row r="44">
      <x:c r="A44" s="91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1"/>
      <x:c r="R44" s="91"/>
      <x:c r="S44" s="91"/>
      <x:c r="T44" s="91"/>
      <x:c r="U44" s="91"/>
      <x:c r="V44" s="91"/>
      <x:c r="W44" s="91"/>
      <x:c r="X44" s="91"/>
      <x:c r="Y44" s="91"/>
      <x:c r="Z44" s="91"/>
    </x:row>
    <x:row r="45">
      <x:c r="A45" s="91"/>
      <x:c r="B45" s="91"/>
      <x:c r="C45" s="91"/>
      <x:c r="D45" s="91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1"/>
      <x:c r="R45" s="91"/>
      <x:c r="S45" s="91"/>
      <x:c r="T45" s="91"/>
      <x:c r="U45" s="91"/>
      <x:c r="V45" s="91"/>
      <x:c r="W45" s="91"/>
      <x:c r="X45" s="91"/>
      <x:c r="Y45" s="91"/>
      <x:c r="Z45" s="91"/>
    </x:row>
    <x:row r="46">
      <x:c r="A46" s="91"/>
      <x:c r="B46" s="91"/>
      <x:c r="C46" s="91"/>
      <x:c r="D46" s="91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1"/>
      <x:c r="R46" s="91"/>
      <x:c r="S46" s="91"/>
      <x:c r="T46" s="91"/>
      <x:c r="U46" s="91"/>
      <x:c r="V46" s="91"/>
      <x:c r="W46" s="91"/>
      <x:c r="X46" s="91"/>
      <x:c r="Y46" s="91"/>
      <x:c r="Z46" s="91"/>
    </x:row>
    <x:row r="47">
      <x:c r="A47" s="91"/>
      <x:c r="B47" s="91"/>
      <x:c r="C47" s="91"/>
      <x:c r="D47" s="91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1"/>
      <x:c r="R47" s="91"/>
      <x:c r="S47" s="91"/>
      <x:c r="T47" s="91"/>
      <x:c r="U47" s="91"/>
      <x:c r="V47" s="91"/>
      <x:c r="W47" s="91"/>
      <x:c r="X47" s="91"/>
      <x:c r="Y47" s="91"/>
      <x:c r="Z47" s="91"/>
    </x:row>
    <x:row r="48">
      <x:c r="A48" s="91"/>
      <x:c r="B48" s="91"/>
      <x:c r="C48" s="91"/>
      <x:c r="D48" s="91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1"/>
      <x:c r="R48" s="91"/>
      <x:c r="S48" s="91"/>
      <x:c r="T48" s="91"/>
      <x:c r="U48" s="91"/>
      <x:c r="V48" s="91"/>
      <x:c r="W48" s="91"/>
      <x:c r="X48" s="91"/>
      <x:c r="Y48" s="91"/>
      <x:c r="Z48" s="91"/>
    </x:row>
    <x:row r="49">
      <x:c r="A49" s="91"/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1"/>
      <x:c r="R49" s="91"/>
      <x:c r="S49" s="91"/>
      <x:c r="T49" s="91"/>
      <x:c r="U49" s="91"/>
      <x:c r="V49" s="91"/>
      <x:c r="W49" s="91"/>
      <x:c r="X49" s="91"/>
      <x:c r="Y49" s="91"/>
      <x:c r="Z49" s="91"/>
    </x:row>
    <x:row r="50">
      <x:c r="A50" s="91"/>
      <x:c r="B50" s="91"/>
      <x:c r="C50" s="91"/>
      <x:c r="D50" s="91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1"/>
      <x:c r="R50" s="91"/>
      <x:c r="S50" s="91"/>
      <x:c r="T50" s="91"/>
      <x:c r="U50" s="91"/>
      <x:c r="V50" s="91"/>
      <x:c r="W50" s="91"/>
      <x:c r="X50" s="91"/>
      <x:c r="Y50" s="91"/>
      <x:c r="Z50" s="91"/>
    </x:row>
    <x:row r="51">
      <x:c r="A51" s="91"/>
      <x:c r="B51" s="91"/>
      <x:c r="C51" s="91"/>
      <x:c r="D51" s="91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1"/>
      <x:c r="R51" s="91"/>
      <x:c r="S51" s="91"/>
      <x:c r="T51" s="91"/>
      <x:c r="U51" s="91"/>
      <x:c r="V51" s="91"/>
      <x:c r="W51" s="91"/>
      <x:c r="X51" s="91"/>
      <x:c r="Y51" s="91"/>
      <x:c r="Z51" s="91"/>
    </x:row>
    <x:row r="52">
      <x:c r="A52" s="91"/>
      <x:c r="B52" s="91"/>
      <x:c r="C52" s="91"/>
      <x:c r="D52" s="91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1"/>
      <x:c r="R52" s="91"/>
      <x:c r="S52" s="91"/>
      <x:c r="T52" s="91"/>
      <x:c r="U52" s="91"/>
      <x:c r="V52" s="91"/>
      <x:c r="W52" s="91"/>
      <x:c r="X52" s="91"/>
      <x:c r="Y52" s="91"/>
      <x:c r="Z52" s="91"/>
    </x:row>
    <x:row r="53">
      <x:c r="A53" s="91"/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1"/>
      <x:c r="R53" s="91"/>
      <x:c r="S53" s="91"/>
      <x:c r="T53" s="91"/>
      <x:c r="U53" s="91"/>
      <x:c r="V53" s="91"/>
      <x:c r="W53" s="91"/>
      <x:c r="X53" s="91"/>
      <x:c r="Y53" s="91"/>
      <x:c r="Z53" s="91"/>
    </x:row>
    <x:row r="54">
      <x:c r="A54" s="91"/>
      <x:c r="B54" s="91"/>
      <x:c r="C54" s="91"/>
      <x:c r="D54" s="91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1"/>
      <x:c r="R54" s="91"/>
      <x:c r="S54" s="91"/>
      <x:c r="T54" s="91"/>
      <x:c r="U54" s="91"/>
      <x:c r="V54" s="91"/>
      <x:c r="W54" s="91"/>
      <x:c r="X54" s="91"/>
      <x:c r="Y54" s="91"/>
      <x:c r="Z54" s="91"/>
    </x:row>
    <x:row r="55">
      <x:c r="A55" s="91"/>
      <x:c r="B55" s="91"/>
      <x:c r="C55" s="91"/>
      <x:c r="D55" s="91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1"/>
      <x:c r="R55" s="91"/>
      <x:c r="S55" s="91"/>
      <x:c r="T55" s="91"/>
      <x:c r="U55" s="91"/>
      <x:c r="V55" s="91"/>
      <x:c r="W55" s="91"/>
      <x:c r="X55" s="91"/>
      <x:c r="Y55" s="91"/>
      <x:c r="Z55" s="91"/>
    </x:row>
    <x:row r="56">
      <x:c r="A56" s="91"/>
      <x:c r="B56" s="91"/>
      <x:c r="C56" s="91"/>
      <x:c r="D56" s="91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1"/>
      <x:c r="R56" s="91"/>
      <x:c r="S56" s="91"/>
      <x:c r="T56" s="91"/>
      <x:c r="U56" s="91"/>
      <x:c r="V56" s="91"/>
      <x:c r="W56" s="91"/>
      <x:c r="X56" s="91"/>
      <x:c r="Y56" s="91"/>
      <x:c r="Z56" s="91"/>
    </x:row>
    <x:row r="57">
      <x:c r="A57" s="91"/>
      <x:c r="B57" s="91"/>
      <x:c r="C57" s="91"/>
      <x:c r="D57" s="91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1"/>
      <x:c r="R57" s="91"/>
      <x:c r="S57" s="91"/>
      <x:c r="T57" s="91"/>
      <x:c r="U57" s="91"/>
      <x:c r="V57" s="91"/>
      <x:c r="W57" s="91"/>
      <x:c r="X57" s="91"/>
      <x:c r="Y57" s="91"/>
      <x:c r="Z57" s="91"/>
    </x:row>
    <x:row r="58">
      <x:c r="A58" s="91"/>
      <x:c r="B58" s="91"/>
      <x:c r="C58" s="91"/>
      <x:c r="D58" s="91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1"/>
      <x:c r="R58" s="91"/>
      <x:c r="S58" s="91"/>
      <x:c r="T58" s="91"/>
      <x:c r="U58" s="91"/>
      <x:c r="V58" s="91"/>
      <x:c r="W58" s="91"/>
      <x:c r="X58" s="91"/>
      <x:c r="Y58" s="91"/>
      <x:c r="Z58" s="91"/>
    </x:row>
    <x:row r="59">
      <x:c r="A59" s="91"/>
      <x:c r="B59" s="91"/>
      <x:c r="C59" s="91"/>
      <x:c r="D59" s="91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1"/>
      <x:c r="R59" s="91"/>
      <x:c r="S59" s="91"/>
      <x:c r="T59" s="91"/>
      <x:c r="U59" s="91"/>
      <x:c r="V59" s="91"/>
      <x:c r="W59" s="91"/>
      <x:c r="X59" s="91"/>
      <x:c r="Y59" s="91"/>
      <x:c r="Z59" s="91"/>
    </x:row>
    <x:row r="60">
      <x:c r="A60" s="91"/>
      <x:c r="B60" s="91"/>
      <x:c r="C60" s="91"/>
      <x:c r="D60" s="91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1"/>
      <x:c r="R60" s="91"/>
      <x:c r="S60" s="91"/>
      <x:c r="T60" s="91"/>
      <x:c r="U60" s="91"/>
      <x:c r="V60" s="91"/>
      <x:c r="W60" s="91"/>
      <x:c r="X60" s="91"/>
      <x:c r="Y60" s="91"/>
      <x:c r="Z60" s="91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1"/>
      <x:c r="R61" s="91"/>
      <x:c r="S61" s="91"/>
      <x:c r="T61" s="91"/>
      <x:c r="U61" s="91"/>
      <x:c r="V61" s="91"/>
      <x:c r="W61" s="91"/>
      <x:c r="X61" s="91"/>
      <x:c r="Y61" s="91"/>
      <x:c r="Z61" s="91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1"/>
      <x:c r="R62" s="91"/>
      <x:c r="S62" s="91"/>
      <x:c r="T62" s="91"/>
      <x:c r="U62" s="91"/>
      <x:c r="V62" s="91"/>
      <x:c r="W62" s="91"/>
      <x:c r="X62" s="91"/>
      <x:c r="Y62" s="91"/>
      <x:c r="Z62" s="91"/>
    </x:row>
    <x:row r="63">
      <x:c r="A63" s="91"/>
      <x:c r="B63" s="91"/>
      <x:c r="C63" s="91"/>
      <x:c r="D63" s="91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1"/>
      <x:c r="R63" s="91"/>
      <x:c r="S63" s="91"/>
      <x:c r="T63" s="91"/>
      <x:c r="U63" s="91"/>
      <x:c r="V63" s="91"/>
      <x:c r="W63" s="91"/>
      <x:c r="X63" s="91"/>
      <x:c r="Y63" s="91"/>
      <x:c r="Z63" s="91"/>
    </x:row>
    <x:row r="64">
      <x:c r="A64" s="91"/>
      <x:c r="B64" s="91"/>
      <x:c r="C64" s="91"/>
      <x:c r="D64" s="91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1"/>
      <x:c r="R64" s="91"/>
      <x:c r="S64" s="91"/>
      <x:c r="T64" s="91"/>
      <x:c r="U64" s="91"/>
      <x:c r="V64" s="91"/>
      <x:c r="W64" s="91"/>
      <x:c r="X64" s="91"/>
      <x:c r="Y64" s="91"/>
      <x:c r="Z64" s="91"/>
    </x:row>
    <x:row r="65">
      <x:c r="A65" s="91"/>
      <x:c r="B65" s="91"/>
      <x:c r="C65" s="91"/>
      <x:c r="D65" s="91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1"/>
      <x:c r="R65" s="91"/>
      <x:c r="S65" s="91"/>
      <x:c r="T65" s="91"/>
      <x:c r="U65" s="91"/>
      <x:c r="V65" s="91"/>
      <x:c r="W65" s="91"/>
      <x:c r="X65" s="91"/>
      <x:c r="Y65" s="91"/>
      <x:c r="Z65" s="91"/>
    </x:row>
    <x:row r="66">
      <x:c r="A66" s="91"/>
      <x:c r="B66" s="91"/>
      <x:c r="C66" s="91"/>
      <x:c r="D66" s="91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1"/>
      <x:c r="R66" s="91"/>
      <x:c r="S66" s="91"/>
      <x:c r="T66" s="91"/>
      <x:c r="U66" s="91"/>
      <x:c r="V66" s="91"/>
      <x:c r="W66" s="91"/>
      <x:c r="X66" s="91"/>
      <x:c r="Y66" s="91"/>
      <x:c r="Z66" s="91"/>
    </x:row>
    <x:row r="67">
      <x:c r="A67" s="91"/>
      <x:c r="B67" s="91"/>
      <x:c r="C67" s="91"/>
      <x:c r="D67" s="91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1"/>
      <x:c r="R67" s="91"/>
      <x:c r="S67" s="91"/>
      <x:c r="T67" s="91"/>
      <x:c r="U67" s="91"/>
      <x:c r="V67" s="91"/>
      <x:c r="W67" s="91"/>
      <x:c r="X67" s="91"/>
      <x:c r="Y67" s="91"/>
      <x:c r="Z67" s="91"/>
    </x:row>
    <x:row r="68">
      <x:c r="A68" s="91"/>
      <x:c r="B68" s="91"/>
      <x:c r="C68" s="91"/>
      <x:c r="D68" s="91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1"/>
      <x:c r="R68" s="91"/>
      <x:c r="S68" s="91"/>
      <x:c r="T68" s="91"/>
      <x:c r="U68" s="91"/>
      <x:c r="V68" s="91"/>
      <x:c r="W68" s="91"/>
      <x:c r="X68" s="91"/>
      <x:c r="Y68" s="91"/>
      <x:c r="Z68" s="91"/>
    </x:row>
    <x:row r="69">
      <x:c r="A69" s="91"/>
      <x:c r="B69" s="91"/>
      <x:c r="C69" s="91"/>
      <x:c r="D69" s="91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1"/>
      <x:c r="R69" s="91"/>
      <x:c r="S69" s="91"/>
      <x:c r="T69" s="91"/>
      <x:c r="U69" s="91"/>
      <x:c r="V69" s="91"/>
      <x:c r="W69" s="91"/>
      <x:c r="X69" s="91"/>
      <x:c r="Y69" s="91"/>
      <x:c r="Z69" s="91"/>
    </x:row>
    <x:row r="70">
      <x:c r="A70" s="91"/>
      <x:c r="B70" s="91"/>
      <x:c r="C70" s="91"/>
      <x:c r="D70" s="91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1"/>
      <x:c r="R70" s="91"/>
      <x:c r="S70" s="91"/>
      <x:c r="T70" s="91"/>
      <x:c r="U70" s="91"/>
      <x:c r="V70" s="91"/>
      <x:c r="W70" s="91"/>
      <x:c r="X70" s="91"/>
      <x:c r="Y70" s="91"/>
      <x:c r="Z70" s="91"/>
    </x:row>
    <x:row r="71">
      <x:c r="A71" s="91"/>
      <x:c r="B71" s="91"/>
      <x:c r="C71" s="91"/>
      <x:c r="D71" s="91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1"/>
      <x:c r="R71" s="91"/>
      <x:c r="S71" s="91"/>
      <x:c r="T71" s="91"/>
      <x:c r="U71" s="91"/>
      <x:c r="V71" s="91"/>
      <x:c r="W71" s="91"/>
      <x:c r="X71" s="91"/>
      <x:c r="Y71" s="91"/>
      <x:c r="Z71" s="91"/>
    </x:row>
    <x:row r="72">
      <x:c r="A72" s="91"/>
      <x:c r="B72" s="91"/>
      <x:c r="C72" s="91"/>
      <x:c r="D72" s="91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1"/>
      <x:c r="R72" s="91"/>
      <x:c r="S72" s="91"/>
      <x:c r="T72" s="91"/>
      <x:c r="U72" s="91"/>
      <x:c r="V72" s="91"/>
      <x:c r="W72" s="91"/>
      <x:c r="X72" s="91"/>
      <x:c r="Y72" s="91"/>
      <x:c r="Z72" s="91"/>
    </x:row>
    <x:row r="73">
      <x:c r="A73" s="91"/>
      <x:c r="B73" s="91"/>
      <x:c r="C73" s="91"/>
      <x:c r="D73" s="91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1"/>
      <x:c r="R73" s="91"/>
      <x:c r="S73" s="91"/>
      <x:c r="T73" s="91"/>
      <x:c r="U73" s="91"/>
      <x:c r="V73" s="91"/>
      <x:c r="W73" s="91"/>
      <x:c r="X73" s="91"/>
      <x:c r="Y73" s="91"/>
      <x:c r="Z73" s="91"/>
    </x:row>
    <x:row r="74">
      <x:c r="A74" s="91"/>
      <x:c r="B74" s="91"/>
      <x:c r="C74" s="91"/>
      <x:c r="D74" s="91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1"/>
      <x:c r="R74" s="91"/>
      <x:c r="S74" s="91"/>
      <x:c r="T74" s="91"/>
      <x:c r="U74" s="91"/>
      <x:c r="V74" s="91"/>
      <x:c r="W74" s="91"/>
      <x:c r="X74" s="91"/>
      <x:c r="Y74" s="91"/>
      <x:c r="Z74" s="91"/>
    </x:row>
    <x:row r="75">
      <x:c r="A75" s="91"/>
      <x:c r="B75" s="91"/>
      <x:c r="C75" s="91"/>
      <x:c r="D75" s="91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1"/>
      <x:c r="R75" s="91"/>
      <x:c r="S75" s="91"/>
      <x:c r="T75" s="91"/>
      <x:c r="U75" s="91"/>
      <x:c r="V75" s="91"/>
      <x:c r="W75" s="91"/>
      <x:c r="X75" s="91"/>
      <x:c r="Y75" s="91"/>
      <x:c r="Z75" s="91"/>
    </x:row>
    <x:row r="76">
      <x:c r="A76" s="91"/>
      <x:c r="B76" s="91"/>
      <x:c r="C76" s="91"/>
      <x:c r="D76" s="91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1"/>
      <x:c r="R76" s="91"/>
      <x:c r="S76" s="91"/>
      <x:c r="T76" s="91"/>
      <x:c r="U76" s="91"/>
      <x:c r="V76" s="91"/>
      <x:c r="W76" s="91"/>
      <x:c r="X76" s="91"/>
      <x:c r="Y76" s="91"/>
      <x:c r="Z76" s="91"/>
    </x:row>
    <x:row r="77">
      <x:c r="A77" s="91"/>
      <x:c r="B77" s="91"/>
      <x:c r="C77" s="91"/>
      <x:c r="D77" s="91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1"/>
      <x:c r="R77" s="91"/>
      <x:c r="S77" s="91"/>
      <x:c r="T77" s="91"/>
      <x:c r="U77" s="91"/>
      <x:c r="V77" s="91"/>
      <x:c r="W77" s="91"/>
      <x:c r="X77" s="91"/>
      <x:c r="Y77" s="91"/>
      <x:c r="Z77" s="91"/>
    </x:row>
    <x:row r="78">
      <x:c r="A78" s="91"/>
      <x:c r="B78" s="91"/>
      <x:c r="C78" s="91"/>
      <x:c r="D78" s="91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1"/>
      <x:c r="R78" s="91"/>
      <x:c r="S78" s="91"/>
      <x:c r="T78" s="91"/>
      <x:c r="U78" s="91"/>
      <x:c r="V78" s="91"/>
      <x:c r="W78" s="91"/>
      <x:c r="X78" s="91"/>
      <x:c r="Y78" s="91"/>
      <x:c r="Z78" s="91"/>
    </x:row>
    <x:row r="79">
      <x:c r="A79" s="91"/>
      <x:c r="B79" s="91"/>
      <x:c r="C79" s="91"/>
      <x:c r="D79" s="91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1"/>
      <x:c r="R79" s="91"/>
      <x:c r="S79" s="91"/>
      <x:c r="T79" s="91"/>
      <x:c r="U79" s="91"/>
      <x:c r="V79" s="91"/>
      <x:c r="W79" s="91"/>
      <x:c r="X79" s="91"/>
      <x:c r="Y79" s="91"/>
      <x:c r="Z79" s="91"/>
    </x:row>
    <x:row r="80">
      <x:c r="A80" s="91"/>
      <x:c r="B80" s="91"/>
      <x:c r="C80" s="91"/>
      <x:c r="D80" s="91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1"/>
      <x:c r="R80" s="91"/>
      <x:c r="S80" s="91"/>
      <x:c r="T80" s="91"/>
      <x:c r="U80" s="91"/>
      <x:c r="V80" s="91"/>
      <x:c r="W80" s="91"/>
      <x:c r="X80" s="91"/>
      <x:c r="Y80" s="91"/>
      <x:c r="Z80" s="91"/>
    </x:row>
    <x:row r="81">
      <x:c r="A81" s="91"/>
      <x:c r="B81" s="91"/>
      <x:c r="C81" s="91"/>
      <x:c r="D81" s="91"/>
      <x:c r="E81" s="91"/>
      <x:c r="F81" s="91"/>
      <x:c r="G81" s="91"/>
      <x:c r="H81" s="91"/>
      <x:c r="I81" s="91"/>
      <x:c r="J81" s="91"/>
      <x:c r="K81" s="91"/>
      <x:c r="L81" s="91"/>
      <x:c r="M81" s="91"/>
      <x:c r="N81" s="91"/>
      <x:c r="O81" s="91"/>
      <x:c r="P81" s="91"/>
      <x:c r="Q81" s="91"/>
      <x:c r="R81" s="91"/>
      <x:c r="S81" s="91"/>
      <x:c r="T81" s="91"/>
      <x:c r="U81" s="91"/>
      <x:c r="V81" s="91"/>
      <x:c r="W81" s="91"/>
      <x:c r="X81" s="91"/>
      <x:c r="Y81" s="91"/>
      <x:c r="Z81" s="91"/>
    </x:row>
    <x:row r="82">
      <x:c r="A82" s="91"/>
      <x:c r="B82" s="91"/>
      <x:c r="C82" s="91"/>
      <x:c r="D82" s="91"/>
      <x:c r="E82" s="91"/>
      <x:c r="F82" s="91"/>
      <x:c r="G82" s="91"/>
      <x:c r="H82" s="91"/>
      <x:c r="I82" s="91"/>
      <x:c r="J82" s="91"/>
      <x:c r="K82" s="91"/>
      <x:c r="L82" s="91"/>
      <x:c r="M82" s="91"/>
      <x:c r="N82" s="91"/>
      <x:c r="O82" s="91"/>
      <x:c r="P82" s="91"/>
      <x:c r="Q82" s="91"/>
      <x:c r="R82" s="91"/>
      <x:c r="S82" s="91"/>
      <x:c r="T82" s="91"/>
      <x:c r="U82" s="91"/>
      <x:c r="V82" s="91"/>
      <x:c r="W82" s="91"/>
      <x:c r="X82" s="91"/>
      <x:c r="Y82" s="91"/>
      <x:c r="Z82" s="91"/>
    </x:row>
    <x:row r="83">
      <x:c r="A83" s="91"/>
      <x:c r="B83" s="91"/>
      <x:c r="C83" s="91"/>
      <x:c r="D83" s="91"/>
      <x:c r="E83" s="91"/>
      <x:c r="F83" s="91"/>
      <x:c r="G83" s="91"/>
      <x:c r="H83" s="91"/>
      <x:c r="I83" s="91"/>
      <x:c r="J83" s="91"/>
      <x:c r="K83" s="91"/>
      <x:c r="L83" s="91"/>
      <x:c r="M83" s="91"/>
      <x:c r="N83" s="91"/>
      <x:c r="O83" s="91"/>
      <x:c r="P83" s="91"/>
      <x:c r="Q83" s="91"/>
      <x:c r="R83" s="91"/>
      <x:c r="S83" s="91"/>
      <x:c r="T83" s="91"/>
      <x:c r="U83" s="91"/>
      <x:c r="V83" s="91"/>
      <x:c r="W83" s="91"/>
      <x:c r="X83" s="91"/>
      <x:c r="Y83" s="91"/>
      <x:c r="Z83" s="91"/>
    </x:row>
    <x:row r="84">
      <x:c r="A84" s="91"/>
      <x:c r="B84" s="91"/>
      <x:c r="C84" s="91"/>
      <x:c r="D84" s="91"/>
      <x:c r="E84" s="91"/>
      <x:c r="F84" s="91"/>
      <x:c r="G84" s="91"/>
      <x:c r="H84" s="91"/>
      <x:c r="I84" s="91"/>
      <x:c r="J84" s="91"/>
      <x:c r="K84" s="91"/>
      <x:c r="L84" s="91"/>
      <x:c r="M84" s="91"/>
      <x:c r="N84" s="91"/>
      <x:c r="O84" s="91"/>
      <x:c r="P84" s="91"/>
      <x:c r="Q84" s="91"/>
      <x:c r="R84" s="91"/>
      <x:c r="S84" s="91"/>
      <x:c r="T84" s="91"/>
      <x:c r="U84" s="91"/>
      <x:c r="V84" s="91"/>
      <x:c r="W84" s="91"/>
      <x:c r="X84" s="91"/>
      <x:c r="Y84" s="91"/>
      <x:c r="Z84" s="91"/>
    </x:row>
    <x:row r="85">
      <x:c r="A85" s="91"/>
      <x:c r="B85" s="91"/>
      <x:c r="C85" s="91"/>
      <x:c r="D85" s="91"/>
      <x:c r="E85" s="91"/>
      <x:c r="F85" s="91"/>
      <x:c r="G85" s="91"/>
      <x:c r="H85" s="91"/>
      <x:c r="I85" s="91"/>
      <x:c r="J85" s="91"/>
      <x:c r="K85" s="91"/>
      <x:c r="L85" s="91"/>
      <x:c r="M85" s="91"/>
      <x:c r="N85" s="91"/>
      <x:c r="O85" s="91"/>
      <x:c r="P85" s="91"/>
      <x:c r="Q85" s="91"/>
      <x:c r="R85" s="91"/>
      <x:c r="S85" s="91"/>
      <x:c r="T85" s="91"/>
      <x:c r="U85" s="91"/>
      <x:c r="V85" s="91"/>
      <x:c r="W85" s="91"/>
      <x:c r="X85" s="91"/>
      <x:c r="Y85" s="91"/>
      <x:c r="Z85" s="91"/>
    </x:row>
    <x:row r="86">
      <x:c r="A86" s="91"/>
      <x:c r="B86" s="91"/>
      <x:c r="C86" s="91"/>
      <x:c r="D86" s="91"/>
      <x:c r="E86" s="91"/>
      <x:c r="F86" s="91"/>
      <x:c r="G86" s="91"/>
      <x:c r="H86" s="91"/>
      <x:c r="I86" s="91"/>
      <x:c r="J86" s="91"/>
      <x:c r="K86" s="91"/>
      <x:c r="L86" s="91"/>
      <x:c r="M86" s="91"/>
      <x:c r="N86" s="91"/>
      <x:c r="O86" s="91"/>
      <x:c r="P86" s="91"/>
      <x:c r="Q86" s="91"/>
      <x:c r="R86" s="91"/>
      <x:c r="S86" s="91"/>
      <x:c r="T86" s="91"/>
      <x:c r="U86" s="91"/>
      <x:c r="V86" s="91"/>
      <x:c r="W86" s="91"/>
      <x:c r="X86" s="91"/>
      <x:c r="Y86" s="91"/>
      <x:c r="Z86" s="91"/>
    </x:row>
    <x:row r="87">
      <x:c r="A87" s="91"/>
      <x:c r="B87" s="91"/>
      <x:c r="C87" s="91"/>
      <x:c r="D87" s="91"/>
      <x:c r="E87" s="91"/>
      <x:c r="F87" s="91"/>
      <x:c r="G87" s="91"/>
      <x:c r="H87" s="91"/>
      <x:c r="I87" s="91"/>
      <x:c r="J87" s="91"/>
      <x:c r="K87" s="91"/>
      <x:c r="L87" s="91"/>
      <x:c r="M87" s="91"/>
      <x:c r="N87" s="91"/>
      <x:c r="O87" s="91"/>
      <x:c r="P87" s="91"/>
      <x:c r="Q87" s="91"/>
      <x:c r="R87" s="91"/>
      <x:c r="S87" s="91"/>
      <x:c r="T87" s="91"/>
      <x:c r="U87" s="91"/>
      <x:c r="V87" s="91"/>
      <x:c r="W87" s="91"/>
      <x:c r="X87" s="91"/>
      <x:c r="Y87" s="91"/>
      <x:c r="Z87" s="91"/>
    </x:row>
    <x:row r="88">
      <x:c r="A88" s="91"/>
      <x:c r="B88" s="91"/>
      <x:c r="C88" s="91"/>
      <x:c r="D88" s="91"/>
      <x:c r="E88" s="91"/>
      <x:c r="F88" s="91"/>
      <x:c r="G88" s="91"/>
      <x:c r="H88" s="91"/>
      <x:c r="I88" s="91"/>
      <x:c r="J88" s="91"/>
      <x:c r="K88" s="91"/>
      <x:c r="L88" s="91"/>
      <x:c r="M88" s="91"/>
      <x:c r="N88" s="91"/>
      <x:c r="O88" s="91"/>
      <x:c r="P88" s="91"/>
      <x:c r="Q88" s="91"/>
      <x:c r="R88" s="91"/>
      <x:c r="S88" s="91"/>
      <x:c r="T88" s="91"/>
      <x:c r="U88" s="91"/>
      <x:c r="V88" s="91"/>
      <x:c r="W88" s="91"/>
      <x:c r="X88" s="91"/>
      <x:c r="Y88" s="91"/>
      <x:c r="Z88" s="91"/>
    </x:row>
    <x:row r="89">
      <x:c r="A89" s="91"/>
      <x:c r="B89" s="91"/>
      <x:c r="C89" s="91"/>
      <x:c r="D89" s="91"/>
      <x:c r="E89" s="91"/>
      <x:c r="F89" s="91"/>
      <x:c r="G89" s="91"/>
      <x:c r="H89" s="91"/>
      <x:c r="I89" s="91"/>
      <x:c r="J89" s="91"/>
      <x:c r="K89" s="91"/>
      <x:c r="L89" s="91"/>
      <x:c r="M89" s="91"/>
      <x:c r="N89" s="91"/>
      <x:c r="O89" s="91"/>
      <x:c r="P89" s="91"/>
      <x:c r="Q89" s="91"/>
      <x:c r="R89" s="91"/>
      <x:c r="S89" s="91"/>
      <x:c r="T89" s="91"/>
      <x:c r="U89" s="91"/>
      <x:c r="V89" s="91"/>
      <x:c r="W89" s="91"/>
      <x:c r="X89" s="91"/>
      <x:c r="Y89" s="91"/>
      <x:c r="Z89" s="91"/>
    </x:row>
    <x:row r="90">
      <x:c r="A90" s="91"/>
      <x:c r="B90" s="91"/>
      <x:c r="C90" s="91"/>
      <x:c r="D90" s="91"/>
      <x:c r="E90" s="91"/>
      <x:c r="F90" s="91"/>
      <x:c r="G90" s="91"/>
      <x:c r="H90" s="91"/>
      <x:c r="I90" s="91"/>
      <x:c r="J90" s="91"/>
      <x:c r="K90" s="91"/>
      <x:c r="L90" s="91"/>
      <x:c r="M90" s="91"/>
      <x:c r="N90" s="91"/>
      <x:c r="O90" s="91"/>
      <x:c r="P90" s="91"/>
      <x:c r="Q90" s="91"/>
      <x:c r="R90" s="91"/>
      <x:c r="S90" s="91"/>
      <x:c r="T90" s="91"/>
      <x:c r="U90" s="91"/>
      <x:c r="V90" s="91"/>
      <x:c r="W90" s="91"/>
      <x:c r="X90" s="91"/>
      <x:c r="Y90" s="91"/>
      <x:c r="Z90" s="91"/>
    </x:row>
    <x:row r="91">
      <x:c r="A91" s="91"/>
      <x:c r="B91" s="91"/>
      <x:c r="C91" s="91"/>
      <x:c r="D91" s="91"/>
      <x:c r="E91" s="91"/>
      <x:c r="F91" s="91"/>
      <x:c r="G91" s="91"/>
      <x:c r="H91" s="91"/>
      <x:c r="I91" s="91"/>
      <x:c r="J91" s="91"/>
      <x:c r="K91" s="91"/>
      <x:c r="L91" s="91"/>
      <x:c r="M91" s="91"/>
      <x:c r="N91" s="91"/>
      <x:c r="O91" s="91"/>
      <x:c r="P91" s="91"/>
      <x:c r="Q91" s="91"/>
      <x:c r="R91" s="91"/>
      <x:c r="S91" s="91"/>
      <x:c r="T91" s="91"/>
      <x:c r="U91" s="91"/>
      <x:c r="V91" s="91"/>
      <x:c r="W91" s="91"/>
      <x:c r="X91" s="91"/>
      <x:c r="Y91" s="91"/>
      <x:c r="Z91" s="91"/>
    </x:row>
    <x:row r="92">
      <x:c r="A92" s="91"/>
      <x:c r="B92" s="91"/>
      <x:c r="C92" s="91"/>
      <x:c r="D92" s="91"/>
      <x:c r="E92" s="91"/>
      <x:c r="F92" s="91"/>
      <x:c r="G92" s="91"/>
      <x:c r="H92" s="91"/>
      <x:c r="I92" s="91"/>
      <x:c r="J92" s="91"/>
      <x:c r="K92" s="91"/>
      <x:c r="L92" s="91"/>
      <x:c r="M92" s="91"/>
      <x:c r="N92" s="91"/>
      <x:c r="O92" s="91"/>
      <x:c r="P92" s="91"/>
      <x:c r="Q92" s="91"/>
      <x:c r="R92" s="91"/>
      <x:c r="S92" s="91"/>
      <x:c r="T92" s="91"/>
      <x:c r="U92" s="91"/>
      <x:c r="V92" s="91"/>
      <x:c r="W92" s="91"/>
      <x:c r="X92" s="91"/>
      <x:c r="Y92" s="91"/>
      <x:c r="Z92" s="91"/>
    </x:row>
    <x:row r="93">
      <x:c r="A93" s="91"/>
      <x:c r="B93" s="91"/>
      <x:c r="C93" s="91"/>
      <x:c r="D93" s="91"/>
      <x:c r="E93" s="91"/>
      <x:c r="F93" s="91"/>
      <x:c r="G93" s="91"/>
      <x:c r="H93" s="91"/>
      <x:c r="I93" s="91"/>
      <x:c r="J93" s="91"/>
      <x:c r="K93" s="91"/>
      <x:c r="L93" s="91"/>
      <x:c r="M93" s="91"/>
      <x:c r="N93" s="91"/>
      <x:c r="O93" s="91"/>
      <x:c r="P93" s="91"/>
      <x:c r="Q93" s="91"/>
      <x:c r="R93" s="91"/>
      <x:c r="S93" s="91"/>
      <x:c r="T93" s="91"/>
      <x:c r="U93" s="91"/>
      <x:c r="V93" s="91"/>
      <x:c r="W93" s="91"/>
      <x:c r="X93" s="91"/>
      <x:c r="Y93" s="91"/>
      <x:c r="Z93" s="91"/>
    </x:row>
    <x:row r="94">
      <x:c r="A94" s="91"/>
      <x:c r="B94" s="91"/>
      <x:c r="C94" s="91"/>
      <x:c r="D94" s="91"/>
      <x:c r="E94" s="91"/>
      <x:c r="F94" s="91"/>
      <x:c r="G94" s="91"/>
      <x:c r="H94" s="91"/>
      <x:c r="I94" s="91"/>
      <x:c r="J94" s="91"/>
      <x:c r="K94" s="91"/>
      <x:c r="L94" s="91"/>
      <x:c r="M94" s="91"/>
      <x:c r="N94" s="91"/>
      <x:c r="O94" s="91"/>
      <x:c r="P94" s="91"/>
      <x:c r="Q94" s="91"/>
      <x:c r="R94" s="91"/>
      <x:c r="S94" s="91"/>
      <x:c r="T94" s="91"/>
      <x:c r="U94" s="91"/>
      <x:c r="V94" s="91"/>
      <x:c r="W94" s="91"/>
      <x:c r="X94" s="91"/>
      <x:c r="Y94" s="91"/>
      <x:c r="Z94" s="91"/>
    </x:row>
    <x:row r="95">
      <x:c r="A95" s="91"/>
      <x:c r="B95" s="91"/>
      <x:c r="C95" s="91"/>
      <x:c r="D95" s="91"/>
      <x:c r="E95" s="91"/>
      <x:c r="F95" s="91"/>
      <x:c r="G95" s="91"/>
      <x:c r="H95" s="91"/>
      <x:c r="I95" s="91"/>
      <x:c r="J95" s="91"/>
      <x:c r="K95" s="91"/>
      <x:c r="L95" s="91"/>
      <x:c r="M95" s="91"/>
      <x:c r="N95" s="91"/>
      <x:c r="O95" s="91"/>
      <x:c r="P95" s="91"/>
      <x:c r="Q95" s="91"/>
      <x:c r="R95" s="91"/>
      <x:c r="S95" s="91"/>
      <x:c r="T95" s="91"/>
      <x:c r="U95" s="91"/>
      <x:c r="V95" s="91"/>
      <x:c r="W95" s="91"/>
      <x:c r="X95" s="91"/>
      <x:c r="Y95" s="91"/>
      <x:c r="Z95" s="91"/>
    </x:row>
    <x:row r="96">
      <x:c r="A96" s="91"/>
      <x:c r="B96" s="91"/>
      <x:c r="C96" s="91"/>
      <x:c r="D96" s="91"/>
      <x:c r="E96" s="91"/>
      <x:c r="F96" s="91"/>
      <x:c r="G96" s="91"/>
      <x:c r="H96" s="91"/>
      <x:c r="I96" s="91"/>
      <x:c r="J96" s="91"/>
      <x:c r="K96" s="91"/>
      <x:c r="L96" s="91"/>
      <x:c r="M96" s="91"/>
      <x:c r="N96" s="91"/>
      <x:c r="O96" s="91"/>
      <x:c r="P96" s="91"/>
      <x:c r="Q96" s="91"/>
      <x:c r="R96" s="91"/>
      <x:c r="S96" s="91"/>
      <x:c r="T96" s="91"/>
      <x:c r="U96" s="91"/>
      <x:c r="V96" s="91"/>
      <x:c r="W96" s="91"/>
      <x:c r="X96" s="91"/>
      <x:c r="Y96" s="91"/>
      <x:c r="Z96" s="91"/>
    </x:row>
    <x:row r="97">
      <x:c r="A97" s="91"/>
      <x:c r="B97" s="91"/>
      <x:c r="C97" s="91"/>
      <x:c r="D97" s="91"/>
      <x:c r="E97" s="91"/>
      <x:c r="F97" s="91"/>
      <x:c r="G97" s="91"/>
      <x:c r="H97" s="91"/>
      <x:c r="I97" s="91"/>
      <x:c r="J97" s="91"/>
      <x:c r="K97" s="91"/>
      <x:c r="L97" s="91"/>
      <x:c r="M97" s="91"/>
      <x:c r="N97" s="91"/>
      <x:c r="O97" s="91"/>
      <x:c r="P97" s="91"/>
      <x:c r="Q97" s="91"/>
      <x:c r="R97" s="91"/>
      <x:c r="S97" s="91"/>
      <x:c r="T97" s="91"/>
      <x:c r="U97" s="91"/>
      <x:c r="V97" s="91"/>
      <x:c r="W97" s="91"/>
      <x:c r="X97" s="91"/>
      <x:c r="Y97" s="91"/>
      <x:c r="Z97" s="91"/>
    </x:row>
    <x:row r="98">
      <x:c r="A98" s="91"/>
      <x:c r="B98" s="91"/>
      <x:c r="C98" s="91"/>
      <x:c r="D98" s="91"/>
      <x:c r="E98" s="91"/>
      <x:c r="F98" s="91"/>
      <x:c r="G98" s="91"/>
      <x:c r="H98" s="91"/>
      <x:c r="I98" s="91"/>
      <x:c r="J98" s="91"/>
      <x:c r="K98" s="91"/>
      <x:c r="L98" s="91"/>
      <x:c r="M98" s="91"/>
      <x:c r="N98" s="91"/>
      <x:c r="O98" s="91"/>
      <x:c r="P98" s="91"/>
      <x:c r="Q98" s="91"/>
      <x:c r="R98" s="91"/>
      <x:c r="S98" s="91"/>
      <x:c r="T98" s="91"/>
      <x:c r="U98" s="91"/>
      <x:c r="V98" s="91"/>
      <x:c r="W98" s="91"/>
      <x:c r="X98" s="91"/>
      <x:c r="Y98" s="91"/>
      <x:c r="Z98" s="91"/>
    </x:row>
    <x:row r="99">
      <x:c r="A99" s="91"/>
      <x:c r="B99" s="91"/>
      <x:c r="C99" s="91"/>
      <x:c r="D99" s="91"/>
      <x:c r="E99" s="91"/>
      <x:c r="F99" s="91"/>
      <x:c r="G99" s="91"/>
      <x:c r="H99" s="91"/>
      <x:c r="I99" s="91"/>
      <x:c r="J99" s="91"/>
      <x:c r="K99" s="91"/>
      <x:c r="L99" s="91"/>
      <x:c r="M99" s="91"/>
      <x:c r="N99" s="91"/>
      <x:c r="O99" s="91"/>
      <x:c r="P99" s="91"/>
      <x:c r="Q99" s="91"/>
      <x:c r="R99" s="91"/>
      <x:c r="S99" s="91"/>
      <x:c r="T99" s="91"/>
      <x:c r="U99" s="91"/>
      <x:c r="V99" s="91"/>
      <x:c r="W99" s="91"/>
      <x:c r="X99" s="91"/>
      <x:c r="Y99" s="91"/>
      <x:c r="Z99" s="91"/>
    </x:row>
    <x:row r="100">
      <x:c r="A100" s="91"/>
      <x:c r="B100" s="91"/>
      <x:c r="C100" s="91"/>
      <x:c r="D100" s="91"/>
      <x:c r="E100" s="91"/>
      <x:c r="F100" s="91"/>
      <x:c r="G100" s="91"/>
      <x:c r="H100" s="91"/>
      <x:c r="I100" s="91"/>
      <x:c r="J100" s="91"/>
      <x:c r="K100" s="91"/>
      <x:c r="L100" s="91"/>
      <x:c r="M100" s="91"/>
      <x:c r="N100" s="91"/>
      <x:c r="O100" s="91"/>
      <x:c r="P100" s="91"/>
      <x:c r="Q100" s="91"/>
      <x:c r="R100" s="91"/>
      <x:c r="S100" s="91"/>
      <x:c r="T100" s="91"/>
      <x:c r="U100" s="91"/>
      <x:c r="V100" s="91"/>
      <x:c r="W100" s="91"/>
      <x:c r="X100" s="91"/>
      <x:c r="Y100" s="91"/>
      <x:c r="Z100" s="91"/>
    </x:row>
    <x:row r="101">
      <x:c r="A101" s="91"/>
      <x:c r="B101" s="91"/>
      <x:c r="C101" s="91"/>
      <x:c r="D101" s="91"/>
      <x:c r="E101" s="91"/>
      <x:c r="F101" s="91"/>
      <x:c r="G101" s="91"/>
      <x:c r="H101" s="91"/>
      <x:c r="I101" s="91"/>
      <x:c r="J101" s="91"/>
      <x:c r="K101" s="91"/>
      <x:c r="L101" s="91"/>
      <x:c r="M101" s="91"/>
      <x:c r="N101" s="91"/>
      <x:c r="O101" s="91"/>
      <x:c r="P101" s="91"/>
      <x:c r="Q101" s="91"/>
      <x:c r="R101" s="91"/>
      <x:c r="S101" s="91"/>
      <x:c r="T101" s="91"/>
      <x:c r="U101" s="91"/>
      <x:c r="V101" s="91"/>
      <x:c r="W101" s="91"/>
      <x:c r="X101" s="91"/>
      <x:c r="Y101" s="91"/>
      <x:c r="Z101" s="91"/>
    </x:row>
    <x:row r="102">
      <x:c r="A102" s="91"/>
      <x:c r="B102" s="91"/>
      <x:c r="C102" s="91"/>
      <x:c r="D102" s="91"/>
      <x:c r="E102" s="91"/>
      <x:c r="F102" s="91"/>
      <x:c r="G102" s="91"/>
      <x:c r="H102" s="91"/>
      <x:c r="I102" s="91"/>
      <x:c r="J102" s="91"/>
      <x:c r="K102" s="91"/>
      <x:c r="L102" s="91"/>
      <x:c r="M102" s="91"/>
      <x:c r="N102" s="91"/>
      <x:c r="O102" s="91"/>
      <x:c r="P102" s="91"/>
      <x:c r="Q102" s="91"/>
      <x:c r="R102" s="91"/>
      <x:c r="S102" s="91"/>
      <x:c r="T102" s="91"/>
      <x:c r="U102" s="91"/>
      <x:c r="V102" s="91"/>
      <x:c r="W102" s="91"/>
      <x:c r="X102" s="91"/>
      <x:c r="Y102" s="91"/>
      <x:c r="Z102" s="91"/>
    </x:row>
    <x:row r="103">
      <x:c r="A103" s="91"/>
      <x:c r="B103" s="91"/>
      <x:c r="C103" s="91"/>
      <x:c r="D103" s="91"/>
      <x:c r="E103" s="91"/>
      <x:c r="F103" s="91"/>
      <x:c r="G103" s="91"/>
      <x:c r="H103" s="91"/>
      <x:c r="I103" s="91"/>
      <x:c r="J103" s="91"/>
      <x:c r="K103" s="91"/>
      <x:c r="L103" s="91"/>
      <x:c r="M103" s="91"/>
      <x:c r="N103" s="91"/>
      <x:c r="O103" s="91"/>
      <x:c r="P103" s="91"/>
      <x:c r="Q103" s="91"/>
      <x:c r="R103" s="91"/>
      <x:c r="S103" s="91"/>
      <x:c r="T103" s="91"/>
      <x:c r="U103" s="91"/>
      <x:c r="V103" s="91"/>
      <x:c r="W103" s="91"/>
      <x:c r="X103" s="91"/>
      <x:c r="Y103" s="91"/>
      <x:c r="Z103" s="91"/>
    </x:row>
    <x:row r="104">
      <x:c r="A104" s="91"/>
      <x:c r="B104" s="91"/>
      <x:c r="C104" s="91"/>
      <x:c r="D104" s="91"/>
      <x:c r="E104" s="91"/>
      <x:c r="F104" s="91"/>
      <x:c r="G104" s="91"/>
      <x:c r="H104" s="91"/>
      <x:c r="I104" s="91"/>
      <x:c r="J104" s="91"/>
      <x:c r="K104" s="91"/>
      <x:c r="L104" s="91"/>
      <x:c r="M104" s="91"/>
      <x:c r="N104" s="91"/>
      <x:c r="O104" s="91"/>
      <x:c r="P104" s="91"/>
      <x:c r="Q104" s="91"/>
      <x:c r="R104" s="91"/>
      <x:c r="S104" s="91"/>
      <x:c r="T104" s="91"/>
      <x:c r="U104" s="91"/>
      <x:c r="V104" s="91"/>
      <x:c r="W104" s="91"/>
      <x:c r="X104" s="91"/>
      <x:c r="Y104" s="91"/>
      <x:c r="Z104" s="91"/>
    </x:row>
    <x:row r="105">
      <x:c r="A105" s="91"/>
      <x:c r="B105" s="91"/>
      <x:c r="C105" s="91"/>
      <x:c r="D105" s="91"/>
      <x:c r="E105" s="91"/>
      <x:c r="F105" s="91"/>
      <x:c r="G105" s="91"/>
      <x:c r="H105" s="91"/>
      <x:c r="I105" s="91"/>
      <x:c r="J105" s="91"/>
      <x:c r="K105" s="91"/>
      <x:c r="L105" s="91"/>
      <x:c r="M105" s="91"/>
      <x:c r="N105" s="91"/>
      <x:c r="O105" s="91"/>
      <x:c r="P105" s="91"/>
      <x:c r="Q105" s="91"/>
      <x:c r="R105" s="91"/>
      <x:c r="S105" s="91"/>
      <x:c r="T105" s="91"/>
      <x:c r="U105" s="91"/>
      <x:c r="V105" s="91"/>
      <x:c r="W105" s="91"/>
      <x:c r="X105" s="91"/>
      <x:c r="Y105" s="91"/>
      <x:c r="Z105" s="91"/>
    </x:row>
    <x:row r="106">
      <x:c r="A106" s="91"/>
      <x:c r="B106" s="91"/>
      <x:c r="C106" s="91"/>
      <x:c r="D106" s="91"/>
      <x:c r="E106" s="91"/>
      <x:c r="F106" s="91"/>
      <x:c r="G106" s="91"/>
      <x:c r="H106" s="91"/>
      <x:c r="I106" s="91"/>
      <x:c r="J106" s="91"/>
      <x:c r="K106" s="91"/>
      <x:c r="L106" s="91"/>
      <x:c r="M106" s="91"/>
      <x:c r="N106" s="91"/>
      <x:c r="O106" s="91"/>
      <x:c r="P106" s="91"/>
      <x:c r="Q106" s="91"/>
      <x:c r="R106" s="91"/>
      <x:c r="S106" s="91"/>
      <x:c r="T106" s="91"/>
      <x:c r="U106" s="91"/>
      <x:c r="V106" s="91"/>
      <x:c r="W106" s="91"/>
      <x:c r="X106" s="91"/>
      <x:c r="Y106" s="91"/>
      <x:c r="Z106" s="91"/>
    </x:row>
    <x:row r="107">
      <x:c r="A107" s="91"/>
      <x:c r="B107" s="91"/>
      <x:c r="C107" s="91"/>
      <x:c r="D107" s="91"/>
      <x:c r="E107" s="91"/>
      <x:c r="F107" s="91"/>
      <x:c r="G107" s="91"/>
      <x:c r="H107" s="91"/>
      <x:c r="I107" s="91"/>
      <x:c r="J107" s="91"/>
      <x:c r="K107" s="91"/>
      <x:c r="L107" s="91"/>
      <x:c r="M107" s="91"/>
      <x:c r="N107" s="91"/>
      <x:c r="O107" s="91"/>
      <x:c r="P107" s="91"/>
      <x:c r="Q107" s="91"/>
      <x:c r="R107" s="91"/>
      <x:c r="S107" s="91"/>
      <x:c r="T107" s="91"/>
      <x:c r="U107" s="91"/>
      <x:c r="V107" s="91"/>
      <x:c r="W107" s="91"/>
      <x:c r="X107" s="91"/>
      <x:c r="Y107" s="91"/>
      <x:c r="Z107" s="91"/>
    </x:row>
    <x:row r="108">
      <x:c r="A108" s="91"/>
      <x:c r="B108" s="91"/>
      <x:c r="C108" s="91"/>
      <x:c r="D108" s="91"/>
      <x:c r="E108" s="91"/>
      <x:c r="F108" s="91"/>
      <x:c r="G108" s="91"/>
      <x:c r="H108" s="91"/>
      <x:c r="I108" s="91"/>
      <x:c r="J108" s="91"/>
      <x:c r="K108" s="91"/>
      <x:c r="L108" s="91"/>
      <x:c r="M108" s="91"/>
      <x:c r="N108" s="91"/>
      <x:c r="O108" s="91"/>
      <x:c r="P108" s="91"/>
      <x:c r="Q108" s="91"/>
      <x:c r="R108" s="91"/>
      <x:c r="S108" s="91"/>
      <x:c r="T108" s="91"/>
      <x:c r="U108" s="91"/>
      <x:c r="V108" s="91"/>
      <x:c r="W108" s="91"/>
      <x:c r="X108" s="91"/>
      <x:c r="Y108" s="91"/>
      <x:c r="Z108" s="91"/>
    </x:row>
    <x:row r="109">
      <x:c r="A109" s="91"/>
      <x:c r="B109" s="91"/>
      <x:c r="C109" s="91"/>
      <x:c r="D109" s="91"/>
      <x:c r="E109" s="91"/>
      <x:c r="F109" s="91"/>
      <x:c r="G109" s="91"/>
      <x:c r="H109" s="91"/>
      <x:c r="I109" s="91"/>
      <x:c r="J109" s="91"/>
      <x:c r="K109" s="91"/>
      <x:c r="L109" s="91"/>
      <x:c r="M109" s="91"/>
      <x:c r="N109" s="91"/>
      <x:c r="O109" s="91"/>
      <x:c r="P109" s="91"/>
      <x:c r="Q109" s="91"/>
      <x:c r="R109" s="91"/>
      <x:c r="S109" s="91"/>
      <x:c r="T109" s="91"/>
      <x:c r="U109" s="91"/>
      <x:c r="V109" s="91"/>
      <x:c r="W109" s="91"/>
      <x:c r="X109" s="91"/>
      <x:c r="Y109" s="91"/>
      <x:c r="Z109" s="91"/>
    </x:row>
    <x:row r="110">
      <x:c r="A110" s="91"/>
      <x:c r="B110" s="91"/>
      <x:c r="C110" s="91"/>
      <x:c r="D110" s="91"/>
      <x:c r="E110" s="91"/>
      <x:c r="F110" s="91"/>
      <x:c r="G110" s="91"/>
      <x:c r="H110" s="91"/>
      <x:c r="I110" s="91"/>
      <x:c r="J110" s="91"/>
      <x:c r="K110" s="91"/>
      <x:c r="L110" s="91"/>
      <x:c r="M110" s="91"/>
      <x:c r="N110" s="91"/>
      <x:c r="O110" s="91"/>
      <x:c r="P110" s="91"/>
      <x:c r="Q110" s="91"/>
      <x:c r="R110" s="91"/>
      <x:c r="S110" s="91"/>
      <x:c r="T110" s="91"/>
      <x:c r="U110" s="91"/>
      <x:c r="V110" s="91"/>
      <x:c r="W110" s="91"/>
      <x:c r="X110" s="91"/>
      <x:c r="Y110" s="91"/>
      <x:c r="Z110" s="91"/>
    </x:row>
    <x:row r="111">
      <x:c r="A111" s="91"/>
      <x:c r="B111" s="91"/>
      <x:c r="C111" s="91"/>
      <x:c r="D111" s="91"/>
      <x:c r="E111" s="91"/>
      <x:c r="F111" s="91"/>
      <x:c r="G111" s="91"/>
      <x:c r="H111" s="91"/>
      <x:c r="I111" s="91"/>
      <x:c r="J111" s="91"/>
      <x:c r="K111" s="91"/>
      <x:c r="L111" s="91"/>
      <x:c r="M111" s="91"/>
      <x:c r="N111" s="91"/>
      <x:c r="O111" s="91"/>
      <x:c r="P111" s="91"/>
      <x:c r="Q111" s="91"/>
      <x:c r="R111" s="91"/>
      <x:c r="S111" s="91"/>
      <x:c r="T111" s="91"/>
      <x:c r="U111" s="91"/>
      <x:c r="V111" s="91"/>
      <x:c r="W111" s="91"/>
      <x:c r="X111" s="91"/>
      <x:c r="Y111" s="91"/>
      <x:c r="Z111" s="91"/>
    </x:row>
    <x:row r="112">
      <x:c r="A112" s="91"/>
      <x:c r="B112" s="91"/>
      <x:c r="C112" s="91"/>
      <x:c r="D112" s="91"/>
      <x:c r="E112" s="91"/>
      <x:c r="F112" s="91"/>
      <x:c r="G112" s="91"/>
      <x:c r="H112" s="91"/>
      <x:c r="I112" s="91"/>
      <x:c r="J112" s="91"/>
      <x:c r="K112" s="91"/>
      <x:c r="L112" s="91"/>
      <x:c r="M112" s="91"/>
      <x:c r="N112" s="91"/>
      <x:c r="O112" s="91"/>
      <x:c r="P112" s="91"/>
      <x:c r="Q112" s="91"/>
      <x:c r="R112" s="91"/>
      <x:c r="S112" s="91"/>
      <x:c r="T112" s="91"/>
      <x:c r="U112" s="91"/>
      <x:c r="V112" s="91"/>
      <x:c r="W112" s="91"/>
      <x:c r="X112" s="91"/>
      <x:c r="Y112" s="91"/>
      <x:c r="Z112" s="91"/>
    </x:row>
    <x:row r="113">
      <x:c r="A113" s="91"/>
      <x:c r="B113" s="91"/>
      <x:c r="C113" s="91"/>
      <x:c r="D113" s="91"/>
      <x:c r="E113" s="91"/>
      <x:c r="F113" s="91"/>
      <x:c r="G113" s="91"/>
      <x:c r="H113" s="91"/>
      <x:c r="I113" s="91"/>
      <x:c r="J113" s="91"/>
      <x:c r="K113" s="91"/>
      <x:c r="L113" s="91"/>
      <x:c r="M113" s="91"/>
      <x:c r="N113" s="91"/>
      <x:c r="O113" s="91"/>
      <x:c r="P113" s="91"/>
      <x:c r="Q113" s="91"/>
      <x:c r="R113" s="91"/>
      <x:c r="S113" s="91"/>
      <x:c r="T113" s="91"/>
      <x:c r="U113" s="91"/>
      <x:c r="V113" s="91"/>
      <x:c r="W113" s="91"/>
      <x:c r="X113" s="91"/>
      <x:c r="Y113" s="91"/>
      <x:c r="Z113" s="91"/>
    </x:row>
    <x:row r="114">
      <x:c r="A114" s="91"/>
      <x:c r="B114" s="91"/>
      <x:c r="C114" s="91"/>
      <x:c r="D114" s="91"/>
      <x:c r="E114" s="91"/>
      <x:c r="F114" s="91"/>
      <x:c r="G114" s="91"/>
      <x:c r="H114" s="91"/>
      <x:c r="I114" s="91"/>
      <x:c r="J114" s="91"/>
      <x:c r="K114" s="91"/>
      <x:c r="L114" s="91"/>
      <x:c r="M114" s="91"/>
      <x:c r="N114" s="91"/>
      <x:c r="O114" s="91"/>
      <x:c r="P114" s="91"/>
      <x:c r="Q114" s="91"/>
      <x:c r="R114" s="91"/>
      <x:c r="S114" s="91"/>
      <x:c r="T114" s="91"/>
      <x:c r="U114" s="91"/>
      <x:c r="V114" s="91"/>
      <x:c r="W114" s="91"/>
      <x:c r="X114" s="91"/>
      <x:c r="Y114" s="91"/>
      <x:c r="Z114" s="91"/>
    </x:row>
    <x:row r="115">
      <x:c r="A115" s="91"/>
      <x:c r="B115" s="91"/>
      <x:c r="C115" s="91"/>
      <x:c r="D115" s="91"/>
      <x:c r="E115" s="91"/>
      <x:c r="F115" s="91"/>
      <x:c r="G115" s="91"/>
      <x:c r="H115" s="91"/>
      <x:c r="I115" s="91"/>
      <x:c r="J115" s="91"/>
      <x:c r="K115" s="91"/>
      <x:c r="L115" s="91"/>
      <x:c r="M115" s="91"/>
      <x:c r="N115" s="91"/>
      <x:c r="O115" s="91"/>
      <x:c r="P115" s="91"/>
      <x:c r="Q115" s="91"/>
      <x:c r="R115" s="91"/>
      <x:c r="S115" s="91"/>
      <x:c r="T115" s="91"/>
      <x:c r="U115" s="91"/>
      <x:c r="V115" s="91"/>
      <x:c r="W115" s="91"/>
      <x:c r="X115" s="91"/>
      <x:c r="Y115" s="91"/>
      <x:c r="Z115" s="91"/>
    </x:row>
    <x:row r="116">
      <x:c r="A116" s="91"/>
      <x:c r="B116" s="91"/>
      <x:c r="C116" s="91"/>
      <x:c r="D116" s="91"/>
      <x:c r="E116" s="91"/>
      <x:c r="F116" s="91"/>
      <x:c r="G116" s="91"/>
      <x:c r="H116" s="91"/>
      <x:c r="I116" s="91"/>
      <x:c r="J116" s="91"/>
      <x:c r="K116" s="91"/>
      <x:c r="L116" s="91"/>
      <x:c r="M116" s="91"/>
      <x:c r="N116" s="91"/>
      <x:c r="O116" s="91"/>
      <x:c r="P116" s="91"/>
      <x:c r="Q116" s="91"/>
      <x:c r="R116" s="91"/>
      <x:c r="S116" s="91"/>
      <x:c r="T116" s="91"/>
      <x:c r="U116" s="91"/>
      <x:c r="V116" s="91"/>
      <x:c r="W116" s="91"/>
      <x:c r="X116" s="91"/>
      <x:c r="Y116" s="91"/>
      <x:c r="Z116" s="91"/>
    </x:row>
    <x:row r="117">
      <x:c r="A117" s="91"/>
      <x:c r="B117" s="91"/>
      <x:c r="C117" s="91"/>
      <x:c r="D117" s="91"/>
      <x:c r="E117" s="91"/>
      <x:c r="F117" s="91"/>
      <x:c r="G117" s="91"/>
      <x:c r="H117" s="91"/>
      <x:c r="I117" s="91"/>
      <x:c r="J117" s="91"/>
      <x:c r="K117" s="91"/>
      <x:c r="L117" s="91"/>
      <x:c r="M117" s="91"/>
      <x:c r="N117" s="91"/>
      <x:c r="O117" s="91"/>
      <x:c r="P117" s="91"/>
      <x:c r="Q117" s="91"/>
      <x:c r="R117" s="91"/>
      <x:c r="S117" s="91"/>
      <x:c r="T117" s="91"/>
      <x:c r="U117" s="91"/>
      <x:c r="V117" s="91"/>
      <x:c r="W117" s="91"/>
      <x:c r="X117" s="91"/>
      <x:c r="Y117" s="91"/>
      <x:c r="Z117" s="91"/>
    </x:row>
    <x:row r="118">
      <x:c r="A118" s="91"/>
      <x:c r="B118" s="91"/>
      <x:c r="C118" s="91"/>
      <x:c r="D118" s="91"/>
      <x:c r="E118" s="91"/>
      <x:c r="F118" s="91"/>
      <x:c r="G118" s="91"/>
      <x:c r="H118" s="91"/>
      <x:c r="I118" s="91"/>
      <x:c r="J118" s="91"/>
      <x:c r="K118" s="91"/>
      <x:c r="L118" s="91"/>
      <x:c r="M118" s="91"/>
      <x:c r="N118" s="91"/>
      <x:c r="O118" s="91"/>
      <x:c r="P118" s="91"/>
      <x:c r="Q118" s="91"/>
      <x:c r="R118" s="91"/>
      <x:c r="S118" s="91"/>
      <x:c r="T118" s="91"/>
      <x:c r="U118" s="91"/>
      <x:c r="V118" s="91"/>
      <x:c r="W118" s="91"/>
      <x:c r="X118" s="91"/>
      <x:c r="Y118" s="91"/>
      <x:c r="Z118" s="91"/>
    </x:row>
    <x:row r="119">
      <x:c r="A119" s="91"/>
      <x:c r="B119" s="91"/>
      <x:c r="C119" s="91"/>
      <x:c r="D119" s="91"/>
      <x:c r="E119" s="91"/>
      <x:c r="F119" s="91"/>
      <x:c r="G119" s="91"/>
      <x:c r="H119" s="91"/>
      <x:c r="I119" s="91"/>
      <x:c r="J119" s="91"/>
      <x:c r="K119" s="91"/>
      <x:c r="L119" s="91"/>
      <x:c r="M119" s="91"/>
      <x:c r="N119" s="91"/>
      <x:c r="O119" s="91"/>
      <x:c r="P119" s="91"/>
      <x:c r="Q119" s="91"/>
      <x:c r="R119" s="91"/>
      <x:c r="S119" s="91"/>
      <x:c r="T119" s="91"/>
      <x:c r="U119" s="91"/>
      <x:c r="V119" s="91"/>
      <x:c r="W119" s="91"/>
      <x:c r="X119" s="91"/>
      <x:c r="Y119" s="91"/>
      <x:c r="Z119" s="91"/>
    </x:row>
    <x:row r="120">
      <x:c r="A120" s="91"/>
      <x:c r="B120" s="91"/>
      <x:c r="C120" s="91"/>
      <x:c r="D120" s="91"/>
      <x:c r="E120" s="91"/>
      <x:c r="F120" s="91"/>
      <x:c r="G120" s="91"/>
      <x:c r="H120" s="91"/>
      <x:c r="I120" s="91"/>
      <x:c r="J120" s="91"/>
      <x:c r="K120" s="91"/>
      <x:c r="L120" s="91"/>
      <x:c r="M120" s="91"/>
      <x:c r="N120" s="91"/>
      <x:c r="O120" s="91"/>
      <x:c r="P120" s="91"/>
      <x:c r="Q120" s="91"/>
      <x:c r="R120" s="91"/>
      <x:c r="S120" s="91"/>
      <x:c r="T120" s="91"/>
      <x:c r="U120" s="91"/>
      <x:c r="V120" s="91"/>
      <x:c r="W120" s="91"/>
      <x:c r="X120" s="91"/>
      <x:c r="Y120" s="91"/>
      <x:c r="Z120" s="91"/>
    </x:row>
    <x:row r="121">
      <x:c r="A121" s="91"/>
      <x:c r="B121" s="91"/>
      <x:c r="C121" s="91"/>
      <x:c r="D121" s="91"/>
      <x:c r="E121" s="91"/>
      <x:c r="F121" s="91"/>
      <x:c r="G121" s="91"/>
      <x:c r="H121" s="91"/>
      <x:c r="I121" s="91"/>
      <x:c r="J121" s="91"/>
      <x:c r="K121" s="91"/>
      <x:c r="L121" s="91"/>
      <x:c r="M121" s="91"/>
      <x:c r="N121" s="91"/>
      <x:c r="O121" s="91"/>
      <x:c r="P121" s="91"/>
      <x:c r="Q121" s="91"/>
      <x:c r="R121" s="91"/>
      <x:c r="S121" s="91"/>
      <x:c r="T121" s="91"/>
      <x:c r="U121" s="91"/>
      <x:c r="V121" s="91"/>
      <x:c r="W121" s="91"/>
      <x:c r="X121" s="91"/>
      <x:c r="Y121" s="91"/>
      <x:c r="Z121" s="91"/>
    </x:row>
    <x:row r="122">
      <x:c r="A122" s="91"/>
      <x:c r="B122" s="91"/>
      <x:c r="C122" s="91"/>
      <x:c r="D122" s="91"/>
      <x:c r="E122" s="91"/>
      <x:c r="F122" s="91"/>
      <x:c r="G122" s="91"/>
      <x:c r="H122" s="91"/>
      <x:c r="I122" s="91"/>
      <x:c r="J122" s="91"/>
      <x:c r="K122" s="91"/>
      <x:c r="L122" s="91"/>
      <x:c r="M122" s="91"/>
      <x:c r="N122" s="91"/>
      <x:c r="O122" s="91"/>
      <x:c r="P122" s="91"/>
      <x:c r="Q122" s="91"/>
      <x:c r="R122" s="91"/>
      <x:c r="S122" s="91"/>
      <x:c r="T122" s="91"/>
      <x:c r="U122" s="91"/>
      <x:c r="V122" s="91"/>
      <x:c r="W122" s="91"/>
      <x:c r="X122" s="91"/>
      <x:c r="Y122" s="91"/>
      <x:c r="Z122" s="91"/>
    </x:row>
    <x:row r="123">
      <x:c r="A123" s="91"/>
      <x:c r="B123" s="91"/>
      <x:c r="C123" s="91"/>
      <x:c r="D123" s="91"/>
      <x:c r="E123" s="91"/>
      <x:c r="F123" s="91"/>
      <x:c r="G123" s="91"/>
      <x:c r="H123" s="91"/>
      <x:c r="I123" s="91"/>
      <x:c r="J123" s="91"/>
      <x:c r="K123" s="91"/>
      <x:c r="L123" s="91"/>
      <x:c r="M123" s="91"/>
      <x:c r="N123" s="91"/>
      <x:c r="O123" s="91"/>
      <x:c r="P123" s="91"/>
      <x:c r="Q123" s="91"/>
      <x:c r="R123" s="91"/>
      <x:c r="S123" s="91"/>
      <x:c r="T123" s="91"/>
      <x:c r="U123" s="91"/>
      <x:c r="V123" s="91"/>
      <x:c r="W123" s="91"/>
      <x:c r="X123" s="91"/>
      <x:c r="Y123" s="91"/>
      <x:c r="Z123" s="91"/>
    </x:row>
    <x:row r="124">
      <x:c r="A124" s="91"/>
      <x:c r="B124" s="91"/>
      <x:c r="C124" s="91"/>
      <x:c r="D124" s="91"/>
      <x:c r="E124" s="91"/>
      <x:c r="F124" s="91"/>
      <x:c r="G124" s="91"/>
      <x:c r="H124" s="91"/>
      <x:c r="I124" s="91"/>
      <x:c r="J124" s="91"/>
      <x:c r="K124" s="91"/>
      <x:c r="L124" s="91"/>
      <x:c r="M124" s="91"/>
      <x:c r="N124" s="91"/>
      <x:c r="O124" s="91"/>
      <x:c r="P124" s="91"/>
      <x:c r="Q124" s="91"/>
      <x:c r="R124" s="91"/>
      <x:c r="S124" s="91"/>
      <x:c r="T124" s="91"/>
      <x:c r="U124" s="91"/>
      <x:c r="V124" s="91"/>
      <x:c r="W124" s="91"/>
      <x:c r="X124" s="91"/>
      <x:c r="Y124" s="91"/>
      <x:c r="Z124" s="91"/>
    </x:row>
    <x:row r="125">
      <x:c r="A125" s="91"/>
      <x:c r="B125" s="91"/>
      <x:c r="C125" s="91"/>
      <x:c r="D125" s="91"/>
      <x:c r="E125" s="91"/>
      <x:c r="F125" s="91"/>
      <x:c r="G125" s="91"/>
      <x:c r="H125" s="91"/>
      <x:c r="I125" s="91"/>
      <x:c r="J125" s="91"/>
      <x:c r="K125" s="91"/>
      <x:c r="L125" s="91"/>
      <x:c r="M125" s="91"/>
      <x:c r="N125" s="91"/>
      <x:c r="O125" s="91"/>
      <x:c r="P125" s="91"/>
      <x:c r="Q125" s="91"/>
      <x:c r="R125" s="91"/>
      <x:c r="S125" s="91"/>
      <x:c r="T125" s="91"/>
      <x:c r="U125" s="91"/>
      <x:c r="V125" s="91"/>
      <x:c r="W125" s="91"/>
      <x:c r="X125" s="91"/>
      <x:c r="Y125" s="91"/>
      <x:c r="Z125" s="91"/>
    </x:row>
    <x:row r="126">
      <x:c r="A126" s="91"/>
      <x:c r="B126" s="91"/>
      <x:c r="C126" s="91"/>
      <x:c r="D126" s="91"/>
      <x:c r="E126" s="91"/>
      <x:c r="F126" s="91"/>
      <x:c r="G126" s="91"/>
      <x:c r="H126" s="91"/>
      <x:c r="I126" s="91"/>
      <x:c r="J126" s="91"/>
      <x:c r="K126" s="91"/>
      <x:c r="L126" s="91"/>
      <x:c r="M126" s="91"/>
      <x:c r="N126" s="91"/>
      <x:c r="O126" s="91"/>
      <x:c r="P126" s="91"/>
      <x:c r="Q126" s="91"/>
      <x:c r="R126" s="91"/>
      <x:c r="S126" s="91"/>
      <x:c r="T126" s="91"/>
      <x:c r="U126" s="91"/>
      <x:c r="V126" s="91"/>
      <x:c r="W126" s="91"/>
      <x:c r="X126" s="91"/>
      <x:c r="Y126" s="91"/>
      <x:c r="Z126" s="91"/>
    </x:row>
    <x:row r="127">
      <x:c r="A127" s="91"/>
      <x:c r="B127" s="91"/>
      <x:c r="C127" s="91"/>
      <x:c r="D127" s="91"/>
      <x:c r="E127" s="91"/>
      <x:c r="F127" s="91"/>
      <x:c r="G127" s="91"/>
      <x:c r="H127" s="91"/>
      <x:c r="I127" s="91"/>
      <x:c r="J127" s="91"/>
      <x:c r="K127" s="91"/>
      <x:c r="L127" s="91"/>
      <x:c r="M127" s="91"/>
      <x:c r="N127" s="91"/>
      <x:c r="O127" s="91"/>
      <x:c r="P127" s="91"/>
      <x:c r="Q127" s="91"/>
      <x:c r="R127" s="91"/>
      <x:c r="S127" s="91"/>
      <x:c r="T127" s="91"/>
      <x:c r="U127" s="91"/>
      <x:c r="V127" s="91"/>
      <x:c r="W127" s="91"/>
      <x:c r="X127" s="91"/>
      <x:c r="Y127" s="91"/>
      <x:c r="Z127" s="91"/>
    </x:row>
    <x:row r="128">
      <x:c r="A128" s="91"/>
      <x:c r="B128" s="91"/>
      <x:c r="C128" s="91"/>
      <x:c r="D128" s="91"/>
      <x:c r="E128" s="91"/>
      <x:c r="F128" s="91"/>
      <x:c r="G128" s="91"/>
      <x:c r="H128" s="91"/>
      <x:c r="I128" s="91"/>
      <x:c r="J128" s="91"/>
      <x:c r="K128" s="91"/>
      <x:c r="L128" s="91"/>
      <x:c r="M128" s="91"/>
      <x:c r="N128" s="91"/>
      <x:c r="O128" s="91"/>
      <x:c r="P128" s="91"/>
      <x:c r="Q128" s="91"/>
      <x:c r="R128" s="91"/>
      <x:c r="S128" s="91"/>
      <x:c r="T128" s="91"/>
      <x:c r="U128" s="91"/>
      <x:c r="V128" s="91"/>
      <x:c r="W128" s="91"/>
      <x:c r="X128" s="91"/>
      <x:c r="Y128" s="91"/>
      <x:c r="Z128" s="91"/>
    </x:row>
    <x:row r="129">
      <x:c r="A129" s="91"/>
      <x:c r="B129" s="91"/>
      <x:c r="C129" s="91"/>
      <x:c r="D129" s="91"/>
      <x:c r="E129" s="91"/>
      <x:c r="F129" s="91"/>
      <x:c r="G129" s="91"/>
      <x:c r="H129" s="91"/>
      <x:c r="I129" s="91"/>
      <x:c r="J129" s="91"/>
      <x:c r="K129" s="91"/>
      <x:c r="L129" s="91"/>
      <x:c r="M129" s="91"/>
      <x:c r="N129" s="91"/>
      <x:c r="O129" s="91"/>
      <x:c r="P129" s="91"/>
      <x:c r="Q129" s="91"/>
      <x:c r="R129" s="91"/>
      <x:c r="S129" s="91"/>
      <x:c r="T129" s="91"/>
      <x:c r="U129" s="91"/>
      <x:c r="V129" s="91"/>
      <x:c r="W129" s="91"/>
      <x:c r="X129" s="91"/>
      <x:c r="Y129" s="91"/>
      <x:c r="Z129" s="91"/>
    </x:row>
    <x:row r="130">
      <x:c r="A130" s="91"/>
      <x:c r="B130" s="91"/>
      <x:c r="C130" s="91"/>
      <x:c r="D130" s="91"/>
      <x:c r="E130" s="91"/>
      <x:c r="F130" s="91"/>
      <x:c r="G130" s="91"/>
      <x:c r="H130" s="91"/>
      <x:c r="I130" s="91"/>
      <x:c r="J130" s="91"/>
      <x:c r="K130" s="91"/>
      <x:c r="L130" s="91"/>
      <x:c r="M130" s="91"/>
      <x:c r="N130" s="91"/>
      <x:c r="O130" s="91"/>
      <x:c r="P130" s="91"/>
      <x:c r="Q130" s="91"/>
      <x:c r="R130" s="91"/>
      <x:c r="S130" s="91"/>
      <x:c r="T130" s="91"/>
      <x:c r="U130" s="91"/>
      <x:c r="V130" s="91"/>
      <x:c r="W130" s="91"/>
      <x:c r="X130" s="91"/>
      <x:c r="Y130" s="91"/>
      <x:c r="Z130" s="91"/>
    </x:row>
    <x:row r="131">
      <x:c r="A131" s="91"/>
      <x:c r="B131" s="91"/>
      <x:c r="C131" s="91"/>
      <x:c r="D131" s="91"/>
      <x:c r="E131" s="91"/>
      <x:c r="F131" s="91"/>
      <x:c r="G131" s="91"/>
      <x:c r="H131" s="91"/>
      <x:c r="I131" s="91"/>
      <x:c r="J131" s="91"/>
      <x:c r="K131" s="91"/>
      <x:c r="L131" s="91"/>
      <x:c r="M131" s="91"/>
      <x:c r="N131" s="91"/>
      <x:c r="O131" s="91"/>
      <x:c r="P131" s="91"/>
      <x:c r="Q131" s="91"/>
      <x:c r="R131" s="91"/>
      <x:c r="S131" s="91"/>
      <x:c r="T131" s="91"/>
      <x:c r="U131" s="91"/>
      <x:c r="V131" s="91"/>
      <x:c r="W131" s="91"/>
      <x:c r="X131" s="91"/>
      <x:c r="Y131" s="91"/>
      <x:c r="Z131" s="91"/>
    </x:row>
    <x:row r="132">
      <x:c r="A132" s="91"/>
      <x:c r="B132" s="91"/>
      <x:c r="C132" s="91"/>
      <x:c r="D132" s="91"/>
      <x:c r="E132" s="91"/>
      <x:c r="F132" s="91"/>
      <x:c r="G132" s="91"/>
      <x:c r="H132" s="91"/>
      <x:c r="I132" s="91"/>
      <x:c r="J132" s="91"/>
      <x:c r="K132" s="91"/>
      <x:c r="L132" s="91"/>
      <x:c r="M132" s="91"/>
      <x:c r="N132" s="91"/>
      <x:c r="O132" s="91"/>
      <x:c r="P132" s="91"/>
      <x:c r="Q132" s="91"/>
      <x:c r="R132" s="91"/>
      <x:c r="S132" s="91"/>
      <x:c r="T132" s="91"/>
      <x:c r="U132" s="91"/>
      <x:c r="V132" s="91"/>
      <x:c r="W132" s="91"/>
      <x:c r="X132" s="91"/>
      <x:c r="Y132" s="91"/>
      <x:c r="Z132" s="91"/>
    </x:row>
    <x:row r="133">
      <x:c r="A133" s="91"/>
      <x:c r="B133" s="91"/>
      <x:c r="C133" s="91"/>
      <x:c r="D133" s="91"/>
      <x:c r="E133" s="91"/>
      <x:c r="F133" s="91"/>
      <x:c r="G133" s="91"/>
      <x:c r="H133" s="91"/>
      <x:c r="I133" s="91"/>
      <x:c r="J133" s="91"/>
      <x:c r="K133" s="91"/>
      <x:c r="L133" s="91"/>
      <x:c r="M133" s="91"/>
      <x:c r="N133" s="91"/>
      <x:c r="O133" s="91"/>
      <x:c r="P133" s="91"/>
      <x:c r="Q133" s="91"/>
      <x:c r="R133" s="91"/>
      <x:c r="S133" s="91"/>
      <x:c r="T133" s="91"/>
      <x:c r="U133" s="91"/>
      <x:c r="V133" s="91"/>
      <x:c r="W133" s="91"/>
      <x:c r="X133" s="91"/>
      <x:c r="Y133" s="91"/>
      <x:c r="Z133" s="91"/>
    </x:row>
    <x:row r="134">
      <x:c r="A134" s="91"/>
      <x:c r="B134" s="91"/>
      <x:c r="C134" s="91"/>
      <x:c r="D134" s="91"/>
      <x:c r="E134" s="91"/>
      <x:c r="F134" s="91"/>
      <x:c r="G134" s="91"/>
      <x:c r="H134" s="91"/>
      <x:c r="I134" s="91"/>
      <x:c r="J134" s="91"/>
      <x:c r="K134" s="91"/>
      <x:c r="L134" s="91"/>
      <x:c r="M134" s="91"/>
      <x:c r="N134" s="91"/>
      <x:c r="O134" s="91"/>
      <x:c r="P134" s="91"/>
      <x:c r="Q134" s="91"/>
      <x:c r="R134" s="91"/>
      <x:c r="S134" s="91"/>
      <x:c r="T134" s="91"/>
      <x:c r="U134" s="91"/>
      <x:c r="V134" s="91"/>
      <x:c r="W134" s="91"/>
      <x:c r="X134" s="91"/>
      <x:c r="Y134" s="91"/>
      <x:c r="Z134" s="91"/>
    </x:row>
    <x:row r="135">
      <x:c r="A135" s="91"/>
      <x:c r="B135" s="91"/>
      <x:c r="C135" s="91"/>
      <x:c r="D135" s="91"/>
      <x:c r="E135" s="91"/>
      <x:c r="F135" s="91"/>
      <x:c r="G135" s="91"/>
      <x:c r="H135" s="91"/>
      <x:c r="I135" s="91"/>
      <x:c r="J135" s="91"/>
      <x:c r="K135" s="91"/>
      <x:c r="L135" s="91"/>
      <x:c r="M135" s="91"/>
      <x:c r="N135" s="91"/>
      <x:c r="O135" s="91"/>
      <x:c r="P135" s="91"/>
      <x:c r="Q135" s="91"/>
      <x:c r="R135" s="91"/>
      <x:c r="S135" s="91"/>
      <x:c r="T135" s="91"/>
      <x:c r="U135" s="91"/>
      <x:c r="V135" s="91"/>
      <x:c r="W135" s="91"/>
      <x:c r="X135" s="91"/>
      <x:c r="Y135" s="91"/>
      <x:c r="Z135" s="91"/>
    </x:row>
    <x:row r="136">
      <x:c r="A136" s="91"/>
      <x:c r="B136" s="91"/>
      <x:c r="C136" s="91"/>
      <x:c r="D136" s="91"/>
      <x:c r="E136" s="91"/>
      <x:c r="F136" s="91"/>
      <x:c r="G136" s="91"/>
      <x:c r="H136" s="91"/>
      <x:c r="I136" s="91"/>
      <x:c r="J136" s="91"/>
      <x:c r="K136" s="91"/>
      <x:c r="L136" s="91"/>
      <x:c r="M136" s="91"/>
      <x:c r="N136" s="91"/>
      <x:c r="O136" s="91"/>
      <x:c r="P136" s="91"/>
      <x:c r="Q136" s="91"/>
      <x:c r="R136" s="91"/>
      <x:c r="S136" s="91"/>
      <x:c r="T136" s="91"/>
      <x:c r="U136" s="91"/>
      <x:c r="V136" s="91"/>
      <x:c r="W136" s="91"/>
      <x:c r="X136" s="91"/>
      <x:c r="Y136" s="91"/>
      <x:c r="Z136" s="91"/>
    </x:row>
    <x:row r="137">
      <x:c r="A137" s="91"/>
      <x:c r="B137" s="91"/>
      <x:c r="C137" s="91"/>
      <x:c r="D137" s="91"/>
      <x:c r="E137" s="91"/>
      <x:c r="F137" s="91"/>
      <x:c r="G137" s="91"/>
      <x:c r="H137" s="91"/>
      <x:c r="I137" s="91"/>
      <x:c r="J137" s="91"/>
      <x:c r="K137" s="91"/>
      <x:c r="L137" s="91"/>
      <x:c r="M137" s="91"/>
      <x:c r="N137" s="91"/>
      <x:c r="O137" s="91"/>
      <x:c r="P137" s="91"/>
      <x:c r="Q137" s="91"/>
      <x:c r="R137" s="91"/>
      <x:c r="S137" s="91"/>
      <x:c r="T137" s="91"/>
      <x:c r="U137" s="91"/>
      <x:c r="V137" s="91"/>
      <x:c r="W137" s="91"/>
      <x:c r="X137" s="91"/>
      <x:c r="Y137" s="91"/>
      <x:c r="Z137" s="91"/>
    </x:row>
    <x:row r="138">
      <x:c r="A138" s="91"/>
      <x:c r="B138" s="91"/>
      <x:c r="C138" s="91"/>
      <x:c r="D138" s="91"/>
      <x:c r="E138" s="91"/>
      <x:c r="F138" s="91"/>
      <x:c r="G138" s="91"/>
      <x:c r="H138" s="91"/>
      <x:c r="I138" s="91"/>
      <x:c r="J138" s="91"/>
      <x:c r="K138" s="91"/>
      <x:c r="L138" s="91"/>
      <x:c r="M138" s="91"/>
      <x:c r="N138" s="91"/>
      <x:c r="O138" s="91"/>
      <x:c r="P138" s="91"/>
      <x:c r="Q138" s="91"/>
      <x:c r="R138" s="91"/>
      <x:c r="S138" s="91"/>
      <x:c r="T138" s="91"/>
      <x:c r="U138" s="91"/>
      <x:c r="V138" s="91"/>
      <x:c r="W138" s="91"/>
      <x:c r="X138" s="91"/>
      <x:c r="Y138" s="91"/>
      <x:c r="Z138" s="91"/>
    </x:row>
    <x:row r="139">
      <x:c r="A139" s="91"/>
      <x:c r="B139" s="91"/>
      <x:c r="C139" s="91"/>
      <x:c r="D139" s="91"/>
      <x:c r="E139" s="91"/>
      <x:c r="F139" s="91"/>
      <x:c r="G139" s="91"/>
      <x:c r="H139" s="91"/>
      <x:c r="I139" s="91"/>
      <x:c r="J139" s="91"/>
      <x:c r="K139" s="91"/>
      <x:c r="L139" s="91"/>
      <x:c r="M139" s="91"/>
      <x:c r="N139" s="91"/>
      <x:c r="O139" s="91"/>
      <x:c r="P139" s="91"/>
      <x:c r="Q139" s="91"/>
      <x:c r="R139" s="91"/>
      <x:c r="S139" s="91"/>
      <x:c r="T139" s="91"/>
      <x:c r="U139" s="91"/>
      <x:c r="V139" s="91"/>
      <x:c r="W139" s="91"/>
      <x:c r="X139" s="91"/>
      <x:c r="Y139" s="91"/>
      <x:c r="Z139" s="91"/>
    </x:row>
    <x:row r="140">
      <x:c r="A140" s="91"/>
      <x:c r="B140" s="91"/>
      <x:c r="C140" s="91"/>
      <x:c r="D140" s="91"/>
      <x:c r="E140" s="91"/>
      <x:c r="F140" s="91"/>
      <x:c r="G140" s="91"/>
      <x:c r="H140" s="91"/>
      <x:c r="I140" s="91"/>
      <x:c r="J140" s="91"/>
      <x:c r="K140" s="91"/>
      <x:c r="L140" s="91"/>
      <x:c r="M140" s="91"/>
      <x:c r="N140" s="91"/>
      <x:c r="O140" s="91"/>
      <x:c r="P140" s="91"/>
      <x:c r="Q140" s="91"/>
      <x:c r="R140" s="91"/>
      <x:c r="S140" s="91"/>
      <x:c r="T140" s="91"/>
      <x:c r="U140" s="91"/>
      <x:c r="V140" s="91"/>
      <x:c r="W140" s="91"/>
      <x:c r="X140" s="91"/>
      <x:c r="Y140" s="91"/>
      <x:c r="Z140" s="91"/>
    </x:row>
    <x:row r="141">
      <x:c r="A141" s="91"/>
      <x:c r="B141" s="91"/>
      <x:c r="C141" s="91"/>
      <x:c r="D141" s="91"/>
      <x:c r="E141" s="91"/>
      <x:c r="F141" s="91"/>
      <x:c r="G141" s="91"/>
      <x:c r="H141" s="91"/>
      <x:c r="I141" s="91"/>
      <x:c r="J141" s="91"/>
      <x:c r="K141" s="91"/>
      <x:c r="L141" s="91"/>
      <x:c r="M141" s="91"/>
      <x:c r="N141" s="91"/>
      <x:c r="O141" s="91"/>
      <x:c r="P141" s="91"/>
      <x:c r="Q141" s="91"/>
      <x:c r="R141" s="91"/>
      <x:c r="S141" s="91"/>
      <x:c r="T141" s="91"/>
      <x:c r="U141" s="91"/>
      <x:c r="V141" s="91"/>
      <x:c r="W141" s="91"/>
      <x:c r="X141" s="91"/>
      <x:c r="Y141" s="91"/>
      <x:c r="Z141" s="91"/>
    </x:row>
    <x:row r="142">
      <x:c r="A142" s="91"/>
      <x:c r="B142" s="91"/>
      <x:c r="C142" s="91"/>
      <x:c r="D142" s="91"/>
      <x:c r="E142" s="91"/>
      <x:c r="F142" s="91"/>
      <x:c r="G142" s="91"/>
      <x:c r="H142" s="91"/>
      <x:c r="I142" s="91"/>
      <x:c r="J142" s="91"/>
      <x:c r="K142" s="91"/>
      <x:c r="L142" s="91"/>
      <x:c r="M142" s="91"/>
      <x:c r="N142" s="91"/>
      <x:c r="O142" s="91"/>
      <x:c r="P142" s="91"/>
      <x:c r="Q142" s="91"/>
      <x:c r="R142" s="91"/>
      <x:c r="S142" s="91"/>
      <x:c r="T142" s="91"/>
      <x:c r="U142" s="91"/>
      <x:c r="V142" s="91"/>
      <x:c r="W142" s="91"/>
      <x:c r="X142" s="91"/>
      <x:c r="Y142" s="91"/>
      <x:c r="Z142" s="91"/>
    </x:row>
    <x:row r="143">
      <x:c r="A143" s="91"/>
      <x:c r="B143" s="91"/>
      <x:c r="C143" s="91"/>
      <x:c r="D143" s="91"/>
      <x:c r="E143" s="91"/>
      <x:c r="F143" s="91"/>
      <x:c r="G143" s="91"/>
      <x:c r="H143" s="91"/>
      <x:c r="I143" s="91"/>
      <x:c r="J143" s="91"/>
      <x:c r="K143" s="91"/>
      <x:c r="L143" s="91"/>
      <x:c r="M143" s="91"/>
      <x:c r="N143" s="91"/>
      <x:c r="O143" s="91"/>
      <x:c r="P143" s="91"/>
      <x:c r="Q143" s="91"/>
      <x:c r="R143" s="91"/>
      <x:c r="S143" s="91"/>
      <x:c r="T143" s="91"/>
      <x:c r="U143" s="91"/>
      <x:c r="V143" s="91"/>
      <x:c r="W143" s="91"/>
      <x:c r="X143" s="91"/>
      <x:c r="Y143" s="91"/>
      <x:c r="Z143" s="91"/>
    </x:row>
    <x:row r="144">
      <x:c r="A144" s="91"/>
      <x:c r="B144" s="91"/>
      <x:c r="C144" s="91"/>
      <x:c r="D144" s="91"/>
      <x:c r="E144" s="91"/>
      <x:c r="F144" s="91"/>
      <x:c r="G144" s="91"/>
      <x:c r="H144" s="91"/>
      <x:c r="I144" s="91"/>
      <x:c r="J144" s="91"/>
      <x:c r="K144" s="91"/>
      <x:c r="L144" s="91"/>
      <x:c r="M144" s="91"/>
      <x:c r="N144" s="91"/>
      <x:c r="O144" s="91"/>
      <x:c r="P144" s="91"/>
      <x:c r="Q144" s="91"/>
      <x:c r="R144" s="91"/>
      <x:c r="S144" s="91"/>
      <x:c r="T144" s="91"/>
      <x:c r="U144" s="91"/>
      <x:c r="V144" s="91"/>
      <x:c r="W144" s="91"/>
      <x:c r="X144" s="91"/>
      <x:c r="Y144" s="91"/>
      <x:c r="Z144" s="91"/>
    </x:row>
    <x:row r="145">
      <x:c r="A145" s="91"/>
      <x:c r="B145" s="91"/>
      <x:c r="C145" s="91"/>
      <x:c r="D145" s="91"/>
      <x:c r="E145" s="91"/>
      <x:c r="F145" s="91"/>
      <x:c r="G145" s="91"/>
      <x:c r="H145" s="91"/>
      <x:c r="I145" s="91"/>
      <x:c r="J145" s="91"/>
      <x:c r="K145" s="91"/>
      <x:c r="L145" s="91"/>
      <x:c r="M145" s="91"/>
      <x:c r="N145" s="91"/>
      <x:c r="O145" s="91"/>
      <x:c r="P145" s="91"/>
      <x:c r="Q145" s="91"/>
      <x:c r="R145" s="91"/>
      <x:c r="S145" s="91"/>
      <x:c r="T145" s="91"/>
      <x:c r="U145" s="91"/>
      <x:c r="V145" s="91"/>
      <x:c r="W145" s="91"/>
      <x:c r="X145" s="91"/>
      <x:c r="Y145" s="91"/>
      <x:c r="Z145" s="91"/>
    </x:row>
    <x:row r="146">
      <x:c r="A146" s="91"/>
      <x:c r="B146" s="91"/>
      <x:c r="C146" s="91"/>
      <x:c r="D146" s="91"/>
      <x:c r="E146" s="91"/>
      <x:c r="F146" s="91"/>
      <x:c r="G146" s="91"/>
      <x:c r="H146" s="91"/>
      <x:c r="I146" s="91"/>
      <x:c r="J146" s="91"/>
      <x:c r="K146" s="91"/>
      <x:c r="L146" s="91"/>
      <x:c r="M146" s="91"/>
      <x:c r="N146" s="91"/>
      <x:c r="O146" s="91"/>
      <x:c r="P146" s="91"/>
      <x:c r="Q146" s="91"/>
      <x:c r="R146" s="91"/>
      <x:c r="S146" s="91"/>
      <x:c r="T146" s="91"/>
      <x:c r="U146" s="91"/>
      <x:c r="V146" s="91"/>
      <x:c r="W146" s="91"/>
      <x:c r="X146" s="91"/>
      <x:c r="Y146" s="91"/>
      <x:c r="Z146" s="91"/>
    </x:row>
    <x:row r="147">
      <x:c r="A147" s="91"/>
      <x:c r="B147" s="91"/>
      <x:c r="C147" s="91"/>
      <x:c r="D147" s="91"/>
      <x:c r="E147" s="91"/>
      <x:c r="F147" s="91"/>
      <x:c r="G147" s="91"/>
      <x:c r="H147" s="91"/>
      <x:c r="I147" s="91"/>
      <x:c r="J147" s="91"/>
      <x:c r="K147" s="91"/>
      <x:c r="L147" s="91"/>
      <x:c r="M147" s="91"/>
      <x:c r="N147" s="91"/>
      <x:c r="O147" s="91"/>
      <x:c r="P147" s="91"/>
      <x:c r="Q147" s="91"/>
      <x:c r="R147" s="91"/>
      <x:c r="S147" s="91"/>
      <x:c r="T147" s="91"/>
      <x:c r="U147" s="91"/>
      <x:c r="V147" s="91"/>
      <x:c r="W147" s="91"/>
      <x:c r="X147" s="91"/>
      <x:c r="Y147" s="91"/>
      <x:c r="Z147" s="91"/>
    </x:row>
    <x:row r="148">
      <x:c r="A148" s="91"/>
      <x:c r="B148" s="91"/>
      <x:c r="C148" s="91"/>
      <x:c r="D148" s="91"/>
      <x:c r="E148" s="91"/>
      <x:c r="F148" s="91"/>
      <x:c r="G148" s="91"/>
      <x:c r="H148" s="91"/>
      <x:c r="I148" s="91"/>
      <x:c r="J148" s="91"/>
      <x:c r="K148" s="91"/>
      <x:c r="L148" s="91"/>
      <x:c r="M148" s="91"/>
      <x:c r="N148" s="91"/>
      <x:c r="O148" s="91"/>
      <x:c r="P148" s="91"/>
      <x:c r="Q148" s="91"/>
      <x:c r="R148" s="91"/>
      <x:c r="S148" s="91"/>
      <x:c r="T148" s="91"/>
      <x:c r="U148" s="91"/>
      <x:c r="V148" s="91"/>
      <x:c r="W148" s="91"/>
      <x:c r="X148" s="91"/>
      <x:c r="Y148" s="91"/>
      <x:c r="Z148" s="91"/>
    </x:row>
    <x:row r="149">
      <x:c r="A149" s="91"/>
      <x:c r="B149" s="91"/>
      <x:c r="C149" s="91"/>
      <x:c r="D149" s="91"/>
      <x:c r="E149" s="91"/>
      <x:c r="F149" s="91"/>
      <x:c r="G149" s="91"/>
      <x:c r="H149" s="91"/>
      <x:c r="I149" s="91"/>
      <x:c r="J149" s="91"/>
      <x:c r="K149" s="91"/>
      <x:c r="L149" s="91"/>
      <x:c r="M149" s="91"/>
      <x:c r="N149" s="91"/>
      <x:c r="O149" s="91"/>
      <x:c r="P149" s="91"/>
      <x:c r="Q149" s="91"/>
      <x:c r="R149" s="91"/>
      <x:c r="S149" s="91"/>
      <x:c r="T149" s="91"/>
      <x:c r="U149" s="91"/>
      <x:c r="V149" s="91"/>
      <x:c r="W149" s="91"/>
      <x:c r="X149" s="91"/>
      <x:c r="Y149" s="91"/>
      <x:c r="Z149" s="91"/>
    </x:row>
    <x:row r="150">
      <x:c r="A150" s="91"/>
      <x:c r="B150" s="91"/>
      <x:c r="C150" s="91"/>
      <x:c r="D150" s="91"/>
      <x:c r="E150" s="91"/>
      <x:c r="F150" s="91"/>
      <x:c r="G150" s="91"/>
      <x:c r="H150" s="91"/>
      <x:c r="I150" s="91"/>
      <x:c r="J150" s="91"/>
      <x:c r="K150" s="91"/>
      <x:c r="L150" s="91"/>
      <x:c r="M150" s="91"/>
      <x:c r="N150" s="91"/>
      <x:c r="O150" s="91"/>
      <x:c r="P150" s="91"/>
      <x:c r="Q150" s="91"/>
      <x:c r="R150" s="91"/>
      <x:c r="S150" s="91"/>
      <x:c r="T150" s="91"/>
      <x:c r="U150" s="91"/>
      <x:c r="V150" s="91"/>
      <x:c r="W150" s="91"/>
      <x:c r="X150" s="91"/>
      <x:c r="Y150" s="91"/>
      <x:c r="Z150" s="91"/>
    </x:row>
    <x:row r="151">
      <x:c r="A151" s="91"/>
      <x:c r="B151" s="91"/>
      <x:c r="C151" s="91"/>
      <x:c r="D151" s="91"/>
      <x:c r="E151" s="91"/>
      <x:c r="F151" s="91"/>
      <x:c r="G151" s="91"/>
      <x:c r="H151" s="91"/>
      <x:c r="I151" s="91"/>
      <x:c r="J151" s="91"/>
      <x:c r="K151" s="91"/>
      <x:c r="L151" s="91"/>
      <x:c r="M151" s="91"/>
      <x:c r="N151" s="91"/>
      <x:c r="O151" s="91"/>
      <x:c r="P151" s="91"/>
      <x:c r="Q151" s="91"/>
      <x:c r="R151" s="91"/>
      <x:c r="S151" s="91"/>
      <x:c r="T151" s="91"/>
      <x:c r="U151" s="91"/>
      <x:c r="V151" s="91"/>
      <x:c r="W151" s="91"/>
      <x:c r="X151" s="91"/>
      <x:c r="Y151" s="91"/>
      <x:c r="Z151" s="91"/>
    </x:row>
    <x:row r="152">
      <x:c r="A152" s="91"/>
      <x:c r="B152" s="91"/>
      <x:c r="C152" s="91"/>
      <x:c r="D152" s="91"/>
      <x:c r="E152" s="91"/>
      <x:c r="F152" s="91"/>
      <x:c r="G152" s="91"/>
      <x:c r="H152" s="91"/>
      <x:c r="I152" s="91"/>
      <x:c r="J152" s="91"/>
      <x:c r="K152" s="91"/>
      <x:c r="L152" s="91"/>
      <x:c r="M152" s="91"/>
      <x:c r="N152" s="91"/>
      <x:c r="O152" s="91"/>
      <x:c r="P152" s="91"/>
      <x:c r="Q152" s="91"/>
      <x:c r="R152" s="91"/>
      <x:c r="S152" s="91"/>
      <x:c r="T152" s="91"/>
      <x:c r="U152" s="91"/>
      <x:c r="V152" s="91"/>
      <x:c r="W152" s="91"/>
      <x:c r="X152" s="91"/>
      <x:c r="Y152" s="91"/>
      <x:c r="Z152" s="91"/>
    </x:row>
    <x:row r="153">
      <x:c r="A153" s="91"/>
      <x:c r="B153" s="91"/>
      <x:c r="C153" s="91"/>
      <x:c r="D153" s="91"/>
      <x:c r="E153" s="91"/>
      <x:c r="F153" s="91"/>
      <x:c r="G153" s="91"/>
      <x:c r="H153" s="91"/>
      <x:c r="I153" s="91"/>
      <x:c r="J153" s="91"/>
      <x:c r="K153" s="91"/>
      <x:c r="L153" s="91"/>
      <x:c r="M153" s="91"/>
      <x:c r="N153" s="91"/>
      <x:c r="O153" s="91"/>
      <x:c r="P153" s="91"/>
      <x:c r="Q153" s="91"/>
      <x:c r="R153" s="91"/>
      <x:c r="S153" s="91"/>
      <x:c r="T153" s="91"/>
      <x:c r="U153" s="91"/>
      <x:c r="V153" s="91"/>
      <x:c r="W153" s="91"/>
      <x:c r="X153" s="91"/>
      <x:c r="Y153" s="91"/>
      <x:c r="Z153" s="91"/>
    </x:row>
    <x:row r="154">
      <x:c r="A154" s="91"/>
      <x:c r="B154" s="91"/>
      <x:c r="C154" s="91"/>
      <x:c r="D154" s="91"/>
      <x:c r="E154" s="91"/>
      <x:c r="F154" s="91"/>
      <x:c r="G154" s="91"/>
      <x:c r="H154" s="91"/>
      <x:c r="I154" s="91"/>
      <x:c r="J154" s="91"/>
      <x:c r="K154" s="91"/>
      <x:c r="L154" s="91"/>
      <x:c r="M154" s="91"/>
      <x:c r="N154" s="91"/>
      <x:c r="O154" s="91"/>
      <x:c r="P154" s="91"/>
      <x:c r="Q154" s="91"/>
      <x:c r="R154" s="91"/>
      <x:c r="S154" s="91"/>
      <x:c r="T154" s="91"/>
      <x:c r="U154" s="91"/>
      <x:c r="V154" s="91"/>
      <x:c r="W154" s="91"/>
      <x:c r="X154" s="91"/>
      <x:c r="Y154" s="91"/>
      <x:c r="Z154" s="91"/>
    </x:row>
    <x:row r="155">
      <x:c r="A155" s="91"/>
      <x:c r="B155" s="91"/>
      <x:c r="C155" s="91"/>
      <x:c r="D155" s="91"/>
      <x:c r="E155" s="91"/>
      <x:c r="F155" s="91"/>
      <x:c r="G155" s="91"/>
      <x:c r="H155" s="91"/>
      <x:c r="I155" s="91"/>
      <x:c r="J155" s="91"/>
      <x:c r="K155" s="91"/>
      <x:c r="L155" s="91"/>
      <x:c r="M155" s="91"/>
      <x:c r="N155" s="91"/>
      <x:c r="O155" s="91"/>
      <x:c r="P155" s="91"/>
      <x:c r="Q155" s="91"/>
      <x:c r="R155" s="91"/>
      <x:c r="S155" s="91"/>
      <x:c r="T155" s="91"/>
      <x:c r="U155" s="91"/>
      <x:c r="V155" s="91"/>
      <x:c r="W155" s="91"/>
      <x:c r="X155" s="91"/>
      <x:c r="Y155" s="91"/>
      <x:c r="Z155" s="91"/>
    </x:row>
    <x:row r="156">
      <x:c r="A156" s="91"/>
      <x:c r="B156" s="91"/>
      <x:c r="C156" s="91"/>
      <x:c r="D156" s="91"/>
      <x:c r="E156" s="91"/>
      <x:c r="F156" s="91"/>
      <x:c r="G156" s="91"/>
      <x:c r="H156" s="91"/>
      <x:c r="I156" s="91"/>
      <x:c r="J156" s="91"/>
      <x:c r="K156" s="91"/>
      <x:c r="L156" s="91"/>
      <x:c r="M156" s="91"/>
      <x:c r="N156" s="91"/>
      <x:c r="O156" s="91"/>
      <x:c r="P156" s="91"/>
      <x:c r="Q156" s="91"/>
      <x:c r="R156" s="91"/>
      <x:c r="S156" s="91"/>
      <x:c r="T156" s="91"/>
      <x:c r="U156" s="91"/>
      <x:c r="V156" s="91"/>
      <x:c r="W156" s="91"/>
      <x:c r="X156" s="91"/>
      <x:c r="Y156" s="91"/>
      <x:c r="Z156" s="91"/>
    </x:row>
    <x:row r="157">
      <x:c r="A157" s="91"/>
      <x:c r="B157" s="91"/>
      <x:c r="C157" s="91"/>
      <x:c r="D157" s="91"/>
      <x:c r="E157" s="91"/>
      <x:c r="F157" s="91"/>
      <x:c r="G157" s="91"/>
      <x:c r="H157" s="91"/>
      <x:c r="I157" s="91"/>
      <x:c r="J157" s="91"/>
      <x:c r="K157" s="91"/>
      <x:c r="L157" s="91"/>
      <x:c r="M157" s="91"/>
      <x:c r="N157" s="91"/>
      <x:c r="O157" s="91"/>
      <x:c r="P157" s="91"/>
      <x:c r="Q157" s="91"/>
      <x:c r="R157" s="91"/>
      <x:c r="S157" s="91"/>
      <x:c r="T157" s="91"/>
      <x:c r="U157" s="91"/>
      <x:c r="V157" s="91"/>
      <x:c r="W157" s="91"/>
      <x:c r="X157" s="91"/>
      <x:c r="Y157" s="91"/>
      <x:c r="Z157" s="91"/>
    </x:row>
    <x:row r="158">
      <x:c r="A158" s="91"/>
      <x:c r="B158" s="91"/>
      <x:c r="C158" s="91"/>
      <x:c r="D158" s="91"/>
      <x:c r="E158" s="91"/>
      <x:c r="F158" s="91"/>
      <x:c r="G158" s="91"/>
      <x:c r="H158" s="91"/>
      <x:c r="I158" s="91"/>
      <x:c r="J158" s="91"/>
      <x:c r="K158" s="91"/>
      <x:c r="L158" s="91"/>
      <x:c r="M158" s="91"/>
      <x:c r="N158" s="91"/>
      <x:c r="O158" s="91"/>
      <x:c r="P158" s="91"/>
      <x:c r="Q158" s="91"/>
      <x:c r="R158" s="91"/>
      <x:c r="S158" s="91"/>
      <x:c r="T158" s="91"/>
      <x:c r="U158" s="91"/>
      <x:c r="V158" s="91"/>
      <x:c r="W158" s="91"/>
      <x:c r="X158" s="91"/>
      <x:c r="Y158" s="91"/>
      <x:c r="Z158" s="91"/>
    </x:row>
    <x:row r="159">
      <x:c r="A159" s="91"/>
      <x:c r="B159" s="91"/>
      <x:c r="C159" s="91"/>
      <x:c r="D159" s="91"/>
      <x:c r="E159" s="91"/>
      <x:c r="F159" s="91"/>
      <x:c r="G159" s="91"/>
      <x:c r="H159" s="91"/>
      <x:c r="I159" s="91"/>
      <x:c r="J159" s="91"/>
      <x:c r="K159" s="91"/>
      <x:c r="L159" s="91"/>
      <x:c r="M159" s="91"/>
      <x:c r="N159" s="91"/>
      <x:c r="O159" s="91"/>
      <x:c r="P159" s="91"/>
      <x:c r="Q159" s="91"/>
      <x:c r="R159" s="91"/>
      <x:c r="S159" s="91"/>
      <x:c r="T159" s="91"/>
      <x:c r="U159" s="91"/>
      <x:c r="V159" s="91"/>
      <x:c r="W159" s="91"/>
      <x:c r="X159" s="91"/>
      <x:c r="Y159" s="91"/>
      <x:c r="Z159" s="91"/>
    </x:row>
    <x:row r="160">
      <x:c r="A160" s="91"/>
      <x:c r="B160" s="91"/>
      <x:c r="C160" s="91"/>
      <x:c r="D160" s="91"/>
      <x:c r="E160" s="91"/>
      <x:c r="F160" s="91"/>
      <x:c r="G160" s="91"/>
      <x:c r="H160" s="91"/>
      <x:c r="I160" s="91"/>
      <x:c r="J160" s="91"/>
      <x:c r="K160" s="91"/>
      <x:c r="L160" s="91"/>
      <x:c r="M160" s="91"/>
      <x:c r="N160" s="91"/>
      <x:c r="O160" s="91"/>
      <x:c r="P160" s="91"/>
      <x:c r="Q160" s="91"/>
      <x:c r="R160" s="91"/>
      <x:c r="S160" s="91"/>
      <x:c r="T160" s="91"/>
      <x:c r="U160" s="91"/>
      <x:c r="V160" s="91"/>
      <x:c r="W160" s="91"/>
      <x:c r="X160" s="91"/>
      <x:c r="Y160" s="91"/>
      <x:c r="Z160" s="91"/>
    </x:row>
    <x:row r="161">
      <x:c r="A161" s="91"/>
      <x:c r="B161" s="91"/>
      <x:c r="C161" s="91"/>
      <x:c r="D161" s="91"/>
      <x:c r="E161" s="91"/>
      <x:c r="F161" s="91"/>
      <x:c r="G161" s="91"/>
      <x:c r="H161" s="91"/>
      <x:c r="I161" s="91"/>
      <x:c r="J161" s="91"/>
      <x:c r="K161" s="91"/>
      <x:c r="L161" s="91"/>
      <x:c r="M161" s="91"/>
      <x:c r="N161" s="91"/>
      <x:c r="O161" s="91"/>
      <x:c r="P161" s="91"/>
      <x:c r="Q161" s="91"/>
      <x:c r="R161" s="91"/>
      <x:c r="S161" s="91"/>
      <x:c r="T161" s="91"/>
      <x:c r="U161" s="91"/>
      <x:c r="V161" s="91"/>
      <x:c r="W161" s="91"/>
      <x:c r="X161" s="91"/>
      <x:c r="Y161" s="91"/>
      <x:c r="Z161" s="91"/>
    </x:row>
    <x:row r="162">
      <x:c r="A162" s="91"/>
      <x:c r="B162" s="91"/>
      <x:c r="C162" s="91"/>
      <x:c r="D162" s="91"/>
      <x:c r="E162" s="91"/>
      <x:c r="F162" s="91"/>
      <x:c r="G162" s="91"/>
      <x:c r="H162" s="91"/>
      <x:c r="I162" s="91"/>
      <x:c r="J162" s="91"/>
      <x:c r="K162" s="91"/>
      <x:c r="L162" s="91"/>
      <x:c r="M162" s="91"/>
      <x:c r="N162" s="91"/>
      <x:c r="O162" s="91"/>
      <x:c r="P162" s="91"/>
      <x:c r="Q162" s="91"/>
      <x:c r="R162" s="91"/>
      <x:c r="S162" s="91"/>
      <x:c r="T162" s="91"/>
      <x:c r="U162" s="91"/>
      <x:c r="V162" s="91"/>
      <x:c r="W162" s="91"/>
      <x:c r="X162" s="91"/>
      <x:c r="Y162" s="91"/>
      <x:c r="Z162" s="91"/>
    </x:row>
    <x:row r="163">
      <x:c r="A163" s="91"/>
      <x:c r="B163" s="91"/>
      <x:c r="C163" s="91"/>
      <x:c r="D163" s="91"/>
      <x:c r="E163" s="91"/>
      <x:c r="F163" s="91"/>
      <x:c r="G163" s="91"/>
      <x:c r="H163" s="91"/>
      <x:c r="I163" s="91"/>
      <x:c r="J163" s="91"/>
      <x:c r="K163" s="91"/>
      <x:c r="L163" s="91"/>
      <x:c r="M163" s="91"/>
      <x:c r="N163" s="91"/>
      <x:c r="O163" s="91"/>
      <x:c r="P163" s="91"/>
      <x:c r="Q163" s="91"/>
      <x:c r="R163" s="91"/>
      <x:c r="S163" s="91"/>
      <x:c r="T163" s="91"/>
      <x:c r="U163" s="91"/>
      <x:c r="V163" s="91"/>
      <x:c r="W163" s="91"/>
      <x:c r="X163" s="91"/>
      <x:c r="Y163" s="91"/>
      <x:c r="Z163" s="91"/>
    </x:row>
    <x:row r="164">
      <x:c r="A164" s="91"/>
      <x:c r="B164" s="91"/>
      <x:c r="C164" s="91"/>
      <x:c r="D164" s="91"/>
      <x:c r="E164" s="91"/>
      <x:c r="F164" s="91"/>
      <x:c r="G164" s="91"/>
      <x:c r="H164" s="91"/>
      <x:c r="I164" s="91"/>
      <x:c r="J164" s="91"/>
      <x:c r="K164" s="91"/>
      <x:c r="L164" s="91"/>
      <x:c r="M164" s="91"/>
      <x:c r="N164" s="91"/>
      <x:c r="O164" s="91"/>
      <x:c r="P164" s="91"/>
      <x:c r="Q164" s="91"/>
      <x:c r="R164" s="91"/>
      <x:c r="S164" s="91"/>
      <x:c r="T164" s="91"/>
      <x:c r="U164" s="91"/>
      <x:c r="V164" s="91"/>
      <x:c r="W164" s="91"/>
      <x:c r="X164" s="91"/>
      <x:c r="Y164" s="91"/>
      <x:c r="Z164" s="91"/>
    </x:row>
    <x:row r="165">
      <x:c r="A165" s="91"/>
      <x:c r="B165" s="91"/>
      <x:c r="C165" s="91"/>
      <x:c r="D165" s="91"/>
      <x:c r="E165" s="91"/>
      <x:c r="F165" s="91"/>
      <x:c r="G165" s="91"/>
      <x:c r="H165" s="91"/>
      <x:c r="I165" s="91"/>
      <x:c r="J165" s="91"/>
      <x:c r="K165" s="91"/>
      <x:c r="L165" s="91"/>
      <x:c r="M165" s="91"/>
      <x:c r="N165" s="91"/>
      <x:c r="O165" s="91"/>
      <x:c r="P165" s="91"/>
      <x:c r="Q165" s="91"/>
      <x:c r="R165" s="91"/>
      <x:c r="S165" s="91"/>
      <x:c r="T165" s="91"/>
      <x:c r="U165" s="91"/>
      <x:c r="V165" s="91"/>
      <x:c r="W165" s="91"/>
      <x:c r="X165" s="91"/>
      <x:c r="Y165" s="91"/>
      <x:c r="Z165" s="91"/>
    </x:row>
    <x:row r="166">
      <x:c r="A166" s="91"/>
      <x:c r="B166" s="91"/>
      <x:c r="C166" s="91"/>
      <x:c r="D166" s="91"/>
      <x:c r="E166" s="91"/>
      <x:c r="F166" s="91"/>
      <x:c r="G166" s="91"/>
      <x:c r="H166" s="91"/>
      <x:c r="I166" s="91"/>
      <x:c r="J166" s="91"/>
      <x:c r="K166" s="91"/>
      <x:c r="L166" s="91"/>
      <x:c r="M166" s="91"/>
      <x:c r="N166" s="91"/>
      <x:c r="O166" s="91"/>
      <x:c r="P166" s="91"/>
      <x:c r="Q166" s="91"/>
      <x:c r="R166" s="91"/>
      <x:c r="S166" s="91"/>
      <x:c r="T166" s="91"/>
      <x:c r="U166" s="91"/>
      <x:c r="V166" s="91"/>
      <x:c r="W166" s="91"/>
      <x:c r="X166" s="91"/>
      <x:c r="Y166" s="91"/>
      <x:c r="Z166" s="91"/>
    </x:row>
    <x:row r="167">
      <x:c r="A167" s="91"/>
      <x:c r="B167" s="91"/>
      <x:c r="C167" s="91"/>
      <x:c r="D167" s="91"/>
      <x:c r="E167" s="91"/>
      <x:c r="F167" s="91"/>
      <x:c r="G167" s="91"/>
      <x:c r="H167" s="91"/>
      <x:c r="I167" s="91"/>
      <x:c r="J167" s="91"/>
      <x:c r="K167" s="91"/>
      <x:c r="L167" s="91"/>
      <x:c r="M167" s="91"/>
      <x:c r="N167" s="91"/>
      <x:c r="O167" s="91"/>
      <x:c r="P167" s="91"/>
      <x:c r="Q167" s="91"/>
      <x:c r="R167" s="91"/>
      <x:c r="S167" s="91"/>
      <x:c r="T167" s="91"/>
      <x:c r="U167" s="91"/>
      <x:c r="V167" s="91"/>
      <x:c r="W167" s="91"/>
      <x:c r="X167" s="91"/>
      <x:c r="Y167" s="91"/>
      <x:c r="Z167" s="91"/>
    </x:row>
    <x:row r="168">
      <x:c r="A168" s="91"/>
      <x:c r="B168" s="91"/>
      <x:c r="C168" s="91"/>
      <x:c r="D168" s="91"/>
      <x:c r="E168" s="91"/>
      <x:c r="F168" s="91"/>
      <x:c r="G168" s="91"/>
      <x:c r="H168" s="91"/>
      <x:c r="I168" s="91"/>
      <x:c r="J168" s="91"/>
      <x:c r="K168" s="91"/>
      <x:c r="L168" s="91"/>
      <x:c r="M168" s="91"/>
      <x:c r="N168" s="91"/>
      <x:c r="O168" s="91"/>
      <x:c r="P168" s="91"/>
      <x:c r="Q168" s="91"/>
      <x:c r="R168" s="91"/>
      <x:c r="S168" s="91"/>
      <x:c r="T168" s="91"/>
      <x:c r="U168" s="91"/>
      <x:c r="V168" s="91"/>
      <x:c r="W168" s="91"/>
      <x:c r="X168" s="91"/>
      <x:c r="Y168" s="91"/>
      <x:c r="Z168" s="91"/>
    </x:row>
    <x:row r="169">
      <x:c r="A169" s="91"/>
      <x:c r="B169" s="91"/>
      <x:c r="C169" s="91"/>
      <x:c r="D169" s="91"/>
      <x:c r="E169" s="91"/>
      <x:c r="F169" s="91"/>
      <x:c r="G169" s="91"/>
      <x:c r="H169" s="91"/>
      <x:c r="I169" s="91"/>
      <x:c r="J169" s="91"/>
      <x:c r="K169" s="91"/>
      <x:c r="L169" s="91"/>
      <x:c r="M169" s="91"/>
      <x:c r="N169" s="91"/>
      <x:c r="O169" s="91"/>
      <x:c r="P169" s="91"/>
      <x:c r="Q169" s="91"/>
      <x:c r="R169" s="91"/>
      <x:c r="S169" s="91"/>
      <x:c r="T169" s="91"/>
      <x:c r="U169" s="91"/>
      <x:c r="V169" s="91"/>
      <x:c r="W169" s="91"/>
      <x:c r="X169" s="91"/>
      <x:c r="Y169" s="91"/>
      <x:c r="Z169" s="91"/>
    </x:row>
    <x:row r="170">
      <x:c r="A170" s="91"/>
      <x:c r="B170" s="91"/>
      <x:c r="C170" s="91"/>
      <x:c r="D170" s="91"/>
      <x:c r="E170" s="91"/>
      <x:c r="F170" s="91"/>
      <x:c r="G170" s="91"/>
      <x:c r="H170" s="91"/>
      <x:c r="I170" s="91"/>
      <x:c r="J170" s="91"/>
      <x:c r="K170" s="91"/>
      <x:c r="L170" s="91"/>
      <x:c r="M170" s="91"/>
      <x:c r="N170" s="91"/>
      <x:c r="O170" s="91"/>
      <x:c r="P170" s="91"/>
      <x:c r="Q170" s="91"/>
      <x:c r="R170" s="91"/>
      <x:c r="S170" s="91"/>
      <x:c r="T170" s="91"/>
      <x:c r="U170" s="91"/>
      <x:c r="V170" s="91"/>
      <x:c r="W170" s="91"/>
      <x:c r="X170" s="91"/>
      <x:c r="Y170" s="91"/>
      <x:c r="Z170" s="91"/>
    </x:row>
    <x:row r="171">
      <x:c r="A171" s="91"/>
      <x:c r="B171" s="91"/>
      <x:c r="C171" s="91"/>
      <x:c r="D171" s="91"/>
      <x:c r="E171" s="91"/>
      <x:c r="F171" s="91"/>
      <x:c r="G171" s="91"/>
      <x:c r="H171" s="91"/>
      <x:c r="I171" s="91"/>
      <x:c r="J171" s="91"/>
      <x:c r="K171" s="91"/>
      <x:c r="L171" s="91"/>
      <x:c r="M171" s="91"/>
      <x:c r="N171" s="91"/>
      <x:c r="O171" s="91"/>
      <x:c r="P171" s="91"/>
      <x:c r="Q171" s="91"/>
      <x:c r="R171" s="91"/>
      <x:c r="S171" s="91"/>
      <x:c r="T171" s="91"/>
      <x:c r="U171" s="91"/>
      <x:c r="V171" s="91"/>
      <x:c r="W171" s="91"/>
      <x:c r="X171" s="91"/>
      <x:c r="Y171" s="91"/>
      <x:c r="Z171" s="91"/>
    </x:row>
    <x:row r="172">
      <x:c r="A172" s="91"/>
      <x:c r="B172" s="91"/>
      <x:c r="C172" s="91"/>
      <x:c r="D172" s="91"/>
      <x:c r="E172" s="91"/>
      <x:c r="F172" s="91"/>
      <x:c r="G172" s="91"/>
      <x:c r="H172" s="91"/>
      <x:c r="I172" s="91"/>
      <x:c r="J172" s="91"/>
      <x:c r="K172" s="91"/>
      <x:c r="L172" s="91"/>
      <x:c r="M172" s="91"/>
      <x:c r="N172" s="91"/>
      <x:c r="O172" s="91"/>
      <x:c r="P172" s="91"/>
      <x:c r="Q172" s="91"/>
      <x:c r="R172" s="91"/>
      <x:c r="S172" s="91"/>
      <x:c r="T172" s="91"/>
      <x:c r="U172" s="91"/>
      <x:c r="V172" s="91"/>
      <x:c r="W172" s="91"/>
      <x:c r="X172" s="91"/>
      <x:c r="Y172" s="91"/>
      <x:c r="Z172" s="91"/>
    </x:row>
    <x:row r="173">
      <x:c r="A173" s="91"/>
      <x:c r="B173" s="91"/>
      <x:c r="C173" s="91"/>
      <x:c r="D173" s="91"/>
      <x:c r="E173" s="91"/>
      <x:c r="F173" s="91"/>
      <x:c r="G173" s="91"/>
      <x:c r="H173" s="91"/>
      <x:c r="I173" s="91"/>
      <x:c r="J173" s="91"/>
      <x:c r="K173" s="91"/>
      <x:c r="L173" s="91"/>
      <x:c r="M173" s="91"/>
      <x:c r="N173" s="91"/>
      <x:c r="O173" s="91"/>
      <x:c r="P173" s="91"/>
      <x:c r="Q173" s="91"/>
      <x:c r="R173" s="91"/>
      <x:c r="S173" s="91"/>
      <x:c r="T173" s="91"/>
      <x:c r="U173" s="91"/>
      <x:c r="V173" s="91"/>
      <x:c r="W173" s="91"/>
      <x:c r="X173" s="91"/>
      <x:c r="Y173" s="91"/>
      <x:c r="Z173" s="91"/>
    </x:row>
    <x:row r="174">
      <x:c r="A174" s="91"/>
      <x:c r="B174" s="91"/>
      <x:c r="C174" s="91"/>
      <x:c r="D174" s="91"/>
      <x:c r="E174" s="91"/>
      <x:c r="F174" s="91"/>
      <x:c r="G174" s="91"/>
      <x:c r="H174" s="91"/>
      <x:c r="I174" s="91"/>
      <x:c r="J174" s="91"/>
      <x:c r="K174" s="91"/>
      <x:c r="L174" s="91"/>
      <x:c r="M174" s="91"/>
      <x:c r="N174" s="91"/>
      <x:c r="O174" s="91"/>
      <x:c r="P174" s="91"/>
      <x:c r="Q174" s="91"/>
      <x:c r="R174" s="91"/>
      <x:c r="S174" s="91"/>
      <x:c r="T174" s="91"/>
      <x:c r="U174" s="91"/>
      <x:c r="V174" s="91"/>
      <x:c r="W174" s="91"/>
      <x:c r="X174" s="91"/>
      <x:c r="Y174" s="91"/>
      <x:c r="Z174" s="91"/>
    </x:row>
    <x:row r="175">
      <x:c r="A175" s="91"/>
      <x:c r="B175" s="91"/>
      <x:c r="C175" s="91"/>
      <x:c r="D175" s="91"/>
      <x:c r="E175" s="91"/>
      <x:c r="F175" s="91"/>
      <x:c r="G175" s="91"/>
      <x:c r="H175" s="91"/>
      <x:c r="I175" s="91"/>
      <x:c r="J175" s="91"/>
      <x:c r="K175" s="91"/>
      <x:c r="L175" s="91"/>
      <x:c r="M175" s="91"/>
      <x:c r="N175" s="91"/>
      <x:c r="O175" s="91"/>
      <x:c r="P175" s="91"/>
      <x:c r="Q175" s="91"/>
      <x:c r="R175" s="91"/>
      <x:c r="S175" s="91"/>
      <x:c r="T175" s="91"/>
      <x:c r="U175" s="91"/>
      <x:c r="V175" s="91"/>
      <x:c r="W175" s="91"/>
      <x:c r="X175" s="91"/>
      <x:c r="Y175" s="91"/>
      <x:c r="Z175" s="91"/>
    </x:row>
    <x:row r="176">
      <x:c r="A176" s="91"/>
      <x:c r="B176" s="91"/>
      <x:c r="C176" s="91"/>
      <x:c r="D176" s="91"/>
      <x:c r="E176" s="91"/>
      <x:c r="F176" s="91"/>
      <x:c r="G176" s="91"/>
      <x:c r="H176" s="91"/>
      <x:c r="I176" s="91"/>
      <x:c r="J176" s="91"/>
      <x:c r="K176" s="91"/>
      <x:c r="L176" s="91"/>
      <x:c r="M176" s="91"/>
      <x:c r="N176" s="91"/>
      <x:c r="O176" s="91"/>
      <x:c r="P176" s="91"/>
      <x:c r="Q176" s="91"/>
      <x:c r="R176" s="91"/>
      <x:c r="S176" s="91"/>
      <x:c r="T176" s="91"/>
      <x:c r="U176" s="91"/>
      <x:c r="V176" s="91"/>
      <x:c r="W176" s="91"/>
      <x:c r="X176" s="91"/>
      <x:c r="Y176" s="91"/>
      <x:c r="Z176" s="91"/>
    </x:row>
    <x:row r="177">
      <x:c r="A177" s="91"/>
      <x:c r="B177" s="91"/>
      <x:c r="C177" s="91"/>
      <x:c r="D177" s="91"/>
      <x:c r="E177" s="91"/>
      <x:c r="F177" s="91"/>
      <x:c r="G177" s="91"/>
      <x:c r="H177" s="91"/>
      <x:c r="I177" s="91"/>
      <x:c r="J177" s="91"/>
      <x:c r="K177" s="91"/>
      <x:c r="L177" s="91"/>
      <x:c r="M177" s="91"/>
      <x:c r="N177" s="91"/>
      <x:c r="O177" s="91"/>
      <x:c r="P177" s="91"/>
      <x:c r="Q177" s="91"/>
      <x:c r="R177" s="91"/>
      <x:c r="S177" s="91"/>
      <x:c r="T177" s="91"/>
      <x:c r="U177" s="91"/>
      <x:c r="V177" s="91"/>
      <x:c r="W177" s="91"/>
      <x:c r="X177" s="91"/>
      <x:c r="Y177" s="91"/>
      <x:c r="Z177" s="91"/>
    </x:row>
    <x:row r="178">
      <x:c r="A178" s="91"/>
      <x:c r="B178" s="91"/>
      <x:c r="C178" s="91"/>
      <x:c r="D178" s="91"/>
      <x:c r="E178" s="91"/>
      <x:c r="F178" s="91"/>
      <x:c r="G178" s="91"/>
      <x:c r="H178" s="91"/>
      <x:c r="I178" s="91"/>
      <x:c r="J178" s="91"/>
      <x:c r="K178" s="91"/>
      <x:c r="L178" s="91"/>
      <x:c r="M178" s="91"/>
      <x:c r="N178" s="91"/>
      <x:c r="O178" s="91"/>
      <x:c r="P178" s="91"/>
      <x:c r="Q178" s="91"/>
      <x:c r="R178" s="91"/>
      <x:c r="S178" s="91"/>
      <x:c r="T178" s="91"/>
      <x:c r="U178" s="91"/>
      <x:c r="V178" s="91"/>
      <x:c r="W178" s="91"/>
      <x:c r="X178" s="91"/>
      <x:c r="Y178" s="91"/>
      <x:c r="Z178" s="91"/>
    </x:row>
    <x:row r="179">
      <x:c r="A179" s="91"/>
      <x:c r="B179" s="91"/>
      <x:c r="C179" s="91"/>
      <x:c r="D179" s="91"/>
      <x:c r="E179" s="91"/>
      <x:c r="F179" s="91"/>
      <x:c r="G179" s="91"/>
      <x:c r="H179" s="91"/>
      <x:c r="I179" s="91"/>
      <x:c r="J179" s="91"/>
      <x:c r="K179" s="91"/>
      <x:c r="L179" s="91"/>
      <x:c r="M179" s="91"/>
      <x:c r="N179" s="91"/>
      <x:c r="O179" s="91"/>
      <x:c r="P179" s="91"/>
      <x:c r="Q179" s="91"/>
      <x:c r="R179" s="91"/>
      <x:c r="S179" s="91"/>
      <x:c r="T179" s="91"/>
      <x:c r="U179" s="91"/>
      <x:c r="V179" s="91"/>
      <x:c r="W179" s="91"/>
      <x:c r="X179" s="91"/>
      <x:c r="Y179" s="91"/>
      <x:c r="Z179" s="91"/>
    </x:row>
    <x:row r="180">
      <x:c r="A180" s="91"/>
      <x:c r="B180" s="91"/>
      <x:c r="C180" s="91"/>
      <x:c r="D180" s="91"/>
      <x:c r="E180" s="91"/>
      <x:c r="F180" s="91"/>
      <x:c r="G180" s="91"/>
      <x:c r="H180" s="91"/>
      <x:c r="I180" s="91"/>
      <x:c r="J180" s="91"/>
      <x:c r="K180" s="91"/>
      <x:c r="L180" s="91"/>
      <x:c r="M180" s="91"/>
      <x:c r="N180" s="91"/>
      <x:c r="O180" s="91"/>
      <x:c r="P180" s="91"/>
      <x:c r="Q180" s="91"/>
      <x:c r="R180" s="91"/>
      <x:c r="S180" s="91"/>
      <x:c r="T180" s="91"/>
      <x:c r="U180" s="91"/>
      <x:c r="V180" s="91"/>
      <x:c r="W180" s="91"/>
      <x:c r="X180" s="91"/>
      <x:c r="Y180" s="91"/>
      <x:c r="Z180" s="91"/>
    </x:row>
    <x:row r="181">
      <x:c r="A181" s="91"/>
      <x:c r="B181" s="91"/>
      <x:c r="C181" s="91"/>
      <x:c r="D181" s="91"/>
      <x:c r="E181" s="91"/>
      <x:c r="F181" s="91"/>
      <x:c r="G181" s="91"/>
      <x:c r="H181" s="91"/>
      <x:c r="I181" s="91"/>
      <x:c r="J181" s="91"/>
      <x:c r="K181" s="91"/>
      <x:c r="L181" s="91"/>
      <x:c r="M181" s="91"/>
      <x:c r="N181" s="91"/>
      <x:c r="O181" s="91"/>
      <x:c r="P181" s="91"/>
      <x:c r="Q181" s="91"/>
      <x:c r="R181" s="91"/>
      <x:c r="S181" s="91"/>
      <x:c r="T181" s="91"/>
      <x:c r="U181" s="91"/>
      <x:c r="V181" s="91"/>
      <x:c r="W181" s="91"/>
      <x:c r="X181" s="91"/>
      <x:c r="Y181" s="91"/>
      <x:c r="Z181" s="91"/>
    </x:row>
    <x:row r="182">
      <x:c r="A182" s="91"/>
      <x:c r="B182" s="91"/>
      <x:c r="C182" s="91"/>
      <x:c r="D182" s="91"/>
      <x:c r="E182" s="91"/>
      <x:c r="F182" s="91"/>
      <x:c r="G182" s="91"/>
      <x:c r="H182" s="91"/>
      <x:c r="I182" s="91"/>
      <x:c r="J182" s="91"/>
      <x:c r="K182" s="91"/>
      <x:c r="L182" s="91"/>
      <x:c r="M182" s="91"/>
      <x:c r="N182" s="91"/>
      <x:c r="O182" s="91"/>
      <x:c r="P182" s="91"/>
      <x:c r="Q182" s="91"/>
      <x:c r="R182" s="91"/>
      <x:c r="S182" s="91"/>
      <x:c r="T182" s="91"/>
      <x:c r="U182" s="91"/>
      <x:c r="V182" s="91"/>
      <x:c r="W182" s="91"/>
      <x:c r="X182" s="91"/>
      <x:c r="Y182" s="91"/>
      <x:c r="Z182" s="91"/>
    </x:row>
    <x:row r="183">
      <x:c r="A183" s="91"/>
      <x:c r="B183" s="91"/>
      <x:c r="C183" s="91"/>
      <x:c r="D183" s="91"/>
      <x:c r="E183" s="91"/>
      <x:c r="F183" s="91"/>
      <x:c r="G183" s="91"/>
      <x:c r="H183" s="91"/>
      <x:c r="I183" s="91"/>
      <x:c r="J183" s="91"/>
      <x:c r="K183" s="91"/>
      <x:c r="L183" s="91"/>
      <x:c r="M183" s="91"/>
      <x:c r="N183" s="91"/>
      <x:c r="O183" s="91"/>
      <x:c r="P183" s="91"/>
      <x:c r="Q183" s="91"/>
      <x:c r="R183" s="91"/>
      <x:c r="S183" s="91"/>
      <x:c r="T183" s="91"/>
      <x:c r="U183" s="91"/>
      <x:c r="V183" s="91"/>
      <x:c r="W183" s="91"/>
      <x:c r="X183" s="91"/>
      <x:c r="Y183" s="91"/>
      <x:c r="Z183" s="91"/>
    </x:row>
    <x:row r="184">
      <x:c r="A184" s="91"/>
      <x:c r="B184" s="91"/>
      <x:c r="C184" s="91"/>
      <x:c r="D184" s="91"/>
      <x:c r="E184" s="91"/>
      <x:c r="F184" s="91"/>
      <x:c r="G184" s="91"/>
      <x:c r="H184" s="91"/>
      <x:c r="I184" s="91"/>
      <x:c r="J184" s="91"/>
      <x:c r="K184" s="91"/>
      <x:c r="L184" s="91"/>
      <x:c r="M184" s="91"/>
      <x:c r="N184" s="91"/>
      <x:c r="O184" s="91"/>
      <x:c r="P184" s="91"/>
      <x:c r="Q184" s="91"/>
      <x:c r="R184" s="91"/>
      <x:c r="S184" s="91"/>
      <x:c r="T184" s="91"/>
      <x:c r="U184" s="91"/>
      <x:c r="V184" s="91"/>
      <x:c r="W184" s="91"/>
      <x:c r="X184" s="91"/>
      <x:c r="Y184" s="91"/>
      <x:c r="Z184" s="91"/>
    </x:row>
    <x:row r="185">
      <x:c r="A185" s="91"/>
      <x:c r="B185" s="91"/>
      <x:c r="C185" s="91"/>
      <x:c r="D185" s="91"/>
      <x:c r="E185" s="91"/>
      <x:c r="F185" s="91"/>
      <x:c r="G185" s="91"/>
      <x:c r="H185" s="91"/>
      <x:c r="I185" s="91"/>
      <x:c r="J185" s="91"/>
      <x:c r="K185" s="91"/>
      <x:c r="L185" s="91"/>
      <x:c r="M185" s="91"/>
      <x:c r="N185" s="91"/>
      <x:c r="O185" s="91"/>
      <x:c r="P185" s="91"/>
      <x:c r="Q185" s="91"/>
      <x:c r="R185" s="91"/>
      <x:c r="S185" s="91"/>
      <x:c r="T185" s="91"/>
      <x:c r="U185" s="91"/>
      <x:c r="V185" s="91"/>
      <x:c r="W185" s="91"/>
      <x:c r="X185" s="91"/>
      <x:c r="Y185" s="91"/>
      <x:c r="Z185" s="91"/>
    </x:row>
    <x:row r="186">
      <x:c r="A186" s="91"/>
      <x:c r="B186" s="91"/>
      <x:c r="C186" s="91"/>
      <x:c r="D186" s="91"/>
      <x:c r="E186" s="91"/>
      <x:c r="F186" s="91"/>
      <x:c r="G186" s="91"/>
      <x:c r="H186" s="91"/>
      <x:c r="I186" s="91"/>
      <x:c r="J186" s="91"/>
      <x:c r="K186" s="91"/>
      <x:c r="L186" s="91"/>
      <x:c r="M186" s="91"/>
      <x:c r="N186" s="91"/>
      <x:c r="O186" s="91"/>
      <x:c r="P186" s="91"/>
      <x:c r="Q186" s="91"/>
      <x:c r="R186" s="91"/>
      <x:c r="S186" s="91"/>
      <x:c r="T186" s="91"/>
      <x:c r="U186" s="91"/>
      <x:c r="V186" s="91"/>
      <x:c r="W186" s="91"/>
      <x:c r="X186" s="91"/>
      <x:c r="Y186" s="91"/>
      <x:c r="Z186" s="91"/>
    </x:row>
    <x:row r="187">
      <x:c r="A187" s="91"/>
      <x:c r="B187" s="91"/>
      <x:c r="C187" s="91"/>
      <x:c r="D187" s="91"/>
      <x:c r="E187" s="91"/>
      <x:c r="F187" s="91"/>
      <x:c r="G187" s="91"/>
      <x:c r="H187" s="91"/>
      <x:c r="I187" s="91"/>
      <x:c r="J187" s="91"/>
      <x:c r="K187" s="91"/>
      <x:c r="L187" s="91"/>
      <x:c r="M187" s="91"/>
      <x:c r="N187" s="91"/>
      <x:c r="O187" s="91"/>
      <x:c r="P187" s="91"/>
      <x:c r="Q187" s="91"/>
      <x:c r="R187" s="91"/>
      <x:c r="S187" s="91"/>
      <x:c r="T187" s="91"/>
      <x:c r="U187" s="91"/>
      <x:c r="V187" s="91"/>
      <x:c r="W187" s="91"/>
      <x:c r="X187" s="91"/>
      <x:c r="Y187" s="91"/>
      <x:c r="Z187" s="91"/>
    </x:row>
    <x:row r="188">
      <x:c r="A188" s="91"/>
      <x:c r="B188" s="91"/>
      <x:c r="C188" s="91"/>
      <x:c r="D188" s="91"/>
      <x:c r="E188" s="91"/>
      <x:c r="F188" s="91"/>
      <x:c r="G188" s="91"/>
      <x:c r="H188" s="91"/>
      <x:c r="I188" s="91"/>
      <x:c r="J188" s="91"/>
      <x:c r="K188" s="91"/>
      <x:c r="L188" s="91"/>
      <x:c r="M188" s="91"/>
      <x:c r="N188" s="91"/>
      <x:c r="O188" s="91"/>
      <x:c r="P188" s="91"/>
      <x:c r="Q188" s="91"/>
      <x:c r="R188" s="91"/>
      <x:c r="S188" s="91"/>
      <x:c r="T188" s="91"/>
      <x:c r="U188" s="91"/>
      <x:c r="V188" s="91"/>
      <x:c r="W188" s="91"/>
      <x:c r="X188" s="91"/>
      <x:c r="Y188" s="91"/>
      <x:c r="Z188" s="91"/>
    </x:row>
    <x:row r="189">
      <x:c r="A189" s="91"/>
      <x:c r="B189" s="91"/>
      <x:c r="C189" s="91"/>
      <x:c r="D189" s="91"/>
      <x:c r="E189" s="91"/>
      <x:c r="F189" s="91"/>
      <x:c r="G189" s="91"/>
      <x:c r="H189" s="91"/>
      <x:c r="I189" s="91"/>
      <x:c r="J189" s="91"/>
      <x:c r="K189" s="91"/>
      <x:c r="L189" s="91"/>
      <x:c r="M189" s="91"/>
      <x:c r="N189" s="91"/>
      <x:c r="O189" s="91"/>
      <x:c r="P189" s="91"/>
      <x:c r="Q189" s="91"/>
      <x:c r="R189" s="91"/>
      <x:c r="S189" s="91"/>
      <x:c r="T189" s="91"/>
      <x:c r="U189" s="91"/>
      <x:c r="V189" s="91"/>
      <x:c r="W189" s="91"/>
      <x:c r="X189" s="91"/>
      <x:c r="Y189" s="91"/>
      <x:c r="Z189" s="91"/>
    </x:row>
    <x:row r="190">
      <x:c r="A190" s="91"/>
      <x:c r="B190" s="91"/>
      <x:c r="C190" s="91"/>
      <x:c r="D190" s="91"/>
      <x:c r="E190" s="91"/>
      <x:c r="F190" s="91"/>
      <x:c r="G190" s="91"/>
      <x:c r="H190" s="91"/>
      <x:c r="I190" s="91"/>
      <x:c r="J190" s="91"/>
      <x:c r="K190" s="91"/>
      <x:c r="L190" s="91"/>
      <x:c r="M190" s="91"/>
      <x:c r="N190" s="91"/>
      <x:c r="O190" s="91"/>
      <x:c r="P190" s="91"/>
      <x:c r="Q190" s="91"/>
      <x:c r="R190" s="91"/>
      <x:c r="S190" s="91"/>
      <x:c r="T190" s="91"/>
      <x:c r="U190" s="91"/>
      <x:c r="V190" s="91"/>
      <x:c r="W190" s="91"/>
      <x:c r="X190" s="91"/>
      <x:c r="Y190" s="91"/>
      <x:c r="Z190" s="91"/>
    </x:row>
    <x:row r="191">
      <x:c r="A191" s="91"/>
      <x:c r="B191" s="91"/>
      <x:c r="C191" s="91"/>
      <x:c r="D191" s="91"/>
      <x:c r="E191" s="91"/>
      <x:c r="F191" s="91"/>
      <x:c r="G191" s="91"/>
      <x:c r="H191" s="91"/>
      <x:c r="I191" s="91"/>
      <x:c r="J191" s="91"/>
      <x:c r="K191" s="91"/>
      <x:c r="L191" s="91"/>
      <x:c r="M191" s="91"/>
      <x:c r="N191" s="91"/>
      <x:c r="O191" s="91"/>
      <x:c r="P191" s="91"/>
      <x:c r="Q191" s="91"/>
      <x:c r="R191" s="91"/>
      <x:c r="S191" s="91"/>
      <x:c r="T191" s="91"/>
      <x:c r="U191" s="91"/>
      <x:c r="V191" s="91"/>
      <x:c r="W191" s="91"/>
      <x:c r="X191" s="91"/>
      <x:c r="Y191" s="91"/>
      <x:c r="Z191" s="91"/>
    </x:row>
    <x:row r="192">
      <x:c r="A192" s="91"/>
      <x:c r="B192" s="91"/>
      <x:c r="C192" s="91"/>
      <x:c r="D192" s="91"/>
      <x:c r="E192" s="91"/>
      <x:c r="F192" s="91"/>
      <x:c r="G192" s="91"/>
      <x:c r="H192" s="91"/>
      <x:c r="I192" s="91"/>
      <x:c r="J192" s="91"/>
      <x:c r="K192" s="91"/>
      <x:c r="L192" s="91"/>
      <x:c r="M192" s="91"/>
      <x:c r="N192" s="91"/>
      <x:c r="O192" s="91"/>
      <x:c r="P192" s="91"/>
      <x:c r="Q192" s="91"/>
      <x:c r="R192" s="91"/>
      <x:c r="S192" s="91"/>
      <x:c r="T192" s="91"/>
      <x:c r="U192" s="91"/>
      <x:c r="V192" s="91"/>
      <x:c r="W192" s="91"/>
      <x:c r="X192" s="91"/>
      <x:c r="Y192" s="91"/>
      <x:c r="Z192" s="91"/>
    </x:row>
    <x:row r="193">
      <x:c r="A193" s="91"/>
      <x:c r="B193" s="91"/>
      <x:c r="C193" s="91"/>
      <x:c r="D193" s="91"/>
      <x:c r="E193" s="91"/>
      <x:c r="F193" s="91"/>
      <x:c r="G193" s="91"/>
      <x:c r="H193" s="91"/>
      <x:c r="I193" s="91"/>
      <x:c r="J193" s="91"/>
      <x:c r="K193" s="91"/>
      <x:c r="L193" s="91"/>
      <x:c r="M193" s="91"/>
      <x:c r="N193" s="91"/>
      <x:c r="O193" s="91"/>
      <x:c r="P193" s="91"/>
      <x:c r="Q193" s="91"/>
      <x:c r="R193" s="91"/>
      <x:c r="S193" s="91"/>
      <x:c r="T193" s="91"/>
      <x:c r="U193" s="91"/>
      <x:c r="V193" s="91"/>
      <x:c r="W193" s="91"/>
      <x:c r="X193" s="91"/>
      <x:c r="Y193" s="91"/>
      <x:c r="Z193" s="91"/>
    </x:row>
    <x:row r="194">
      <x:c r="A194" s="91"/>
      <x:c r="B194" s="91"/>
      <x:c r="C194" s="91"/>
      <x:c r="D194" s="91"/>
      <x:c r="E194" s="91"/>
      <x:c r="F194" s="91"/>
      <x:c r="G194" s="91"/>
      <x:c r="H194" s="91"/>
      <x:c r="I194" s="91"/>
      <x:c r="J194" s="91"/>
      <x:c r="K194" s="91"/>
      <x:c r="L194" s="91"/>
      <x:c r="M194" s="91"/>
      <x:c r="N194" s="91"/>
      <x:c r="O194" s="91"/>
      <x:c r="P194" s="91"/>
      <x:c r="Q194" s="91"/>
      <x:c r="R194" s="91"/>
      <x:c r="S194" s="91"/>
      <x:c r="T194" s="91"/>
      <x:c r="U194" s="91"/>
      <x:c r="V194" s="91"/>
      <x:c r="W194" s="91"/>
      <x:c r="X194" s="91"/>
      <x:c r="Y194" s="91"/>
      <x:c r="Z194" s="91"/>
    </x:row>
    <x:row r="195">
      <x:c r="A195" s="91"/>
      <x:c r="B195" s="91"/>
      <x:c r="C195" s="91"/>
      <x:c r="D195" s="91"/>
      <x:c r="E195" s="91"/>
      <x:c r="F195" s="91"/>
      <x:c r="G195" s="91"/>
      <x:c r="H195" s="91"/>
      <x:c r="I195" s="91"/>
      <x:c r="J195" s="91"/>
      <x:c r="K195" s="91"/>
      <x:c r="L195" s="91"/>
      <x:c r="M195" s="91"/>
      <x:c r="N195" s="91"/>
      <x:c r="O195" s="91"/>
      <x:c r="P195" s="91"/>
      <x:c r="Q195" s="91"/>
      <x:c r="R195" s="91"/>
      <x:c r="S195" s="91"/>
      <x:c r="T195" s="91"/>
      <x:c r="U195" s="91"/>
      <x:c r="V195" s="91"/>
      <x:c r="W195" s="91"/>
      <x:c r="X195" s="91"/>
      <x:c r="Y195" s="91"/>
      <x:c r="Z195" s="91"/>
    </x:row>
    <x:row r="196">
      <x:c r="A196" s="91"/>
      <x:c r="B196" s="91"/>
      <x:c r="C196" s="91"/>
      <x:c r="D196" s="91"/>
      <x:c r="E196" s="91"/>
      <x:c r="F196" s="91"/>
      <x:c r="G196" s="91"/>
      <x:c r="H196" s="91"/>
      <x:c r="I196" s="91"/>
      <x:c r="J196" s="91"/>
      <x:c r="K196" s="91"/>
      <x:c r="L196" s="91"/>
      <x:c r="M196" s="91"/>
      <x:c r="N196" s="91"/>
      <x:c r="O196" s="91"/>
      <x:c r="P196" s="91"/>
      <x:c r="Q196" s="91"/>
      <x:c r="R196" s="91"/>
      <x:c r="S196" s="91"/>
      <x:c r="T196" s="91"/>
      <x:c r="U196" s="91"/>
      <x:c r="V196" s="91"/>
      <x:c r="W196" s="91"/>
      <x:c r="X196" s="91"/>
      <x:c r="Y196" s="91"/>
      <x:c r="Z196" s="91"/>
    </x:row>
    <x:row r="197">
      <x:c r="A197" s="91"/>
      <x:c r="B197" s="91"/>
      <x:c r="C197" s="91"/>
      <x:c r="D197" s="91"/>
      <x:c r="E197" s="91"/>
      <x:c r="F197" s="91"/>
      <x:c r="G197" s="91"/>
      <x:c r="H197" s="91"/>
      <x:c r="I197" s="91"/>
      <x:c r="J197" s="91"/>
      <x:c r="K197" s="91"/>
      <x:c r="L197" s="91"/>
      <x:c r="M197" s="91"/>
      <x:c r="N197" s="91"/>
      <x:c r="O197" s="91"/>
      <x:c r="P197" s="91"/>
      <x:c r="Q197" s="91"/>
      <x:c r="R197" s="91"/>
      <x:c r="S197" s="91"/>
      <x:c r="T197" s="91"/>
      <x:c r="U197" s="91"/>
      <x:c r="V197" s="91"/>
      <x:c r="W197" s="91"/>
      <x:c r="X197" s="91"/>
      <x:c r="Y197" s="91"/>
      <x:c r="Z197" s="91"/>
    </x:row>
    <x:row r="198">
      <x:c r="A198" s="91"/>
      <x:c r="B198" s="91"/>
      <x:c r="C198" s="91"/>
      <x:c r="D198" s="91"/>
      <x:c r="E198" s="91"/>
      <x:c r="F198" s="91"/>
      <x:c r="G198" s="91"/>
      <x:c r="H198" s="91"/>
      <x:c r="I198" s="91"/>
      <x:c r="J198" s="91"/>
      <x:c r="K198" s="91"/>
      <x:c r="L198" s="91"/>
      <x:c r="M198" s="91"/>
      <x:c r="N198" s="91"/>
      <x:c r="O198" s="91"/>
      <x:c r="P198" s="91"/>
      <x:c r="Q198" s="91"/>
      <x:c r="R198" s="91"/>
      <x:c r="S198" s="91"/>
      <x:c r="T198" s="91"/>
      <x:c r="U198" s="91"/>
      <x:c r="V198" s="91"/>
      <x:c r="W198" s="91"/>
      <x:c r="X198" s="91"/>
      <x:c r="Y198" s="91"/>
      <x:c r="Z198" s="91"/>
    </x:row>
    <x:row r="199">
      <x:c r="A199" s="91"/>
      <x:c r="B199" s="91"/>
      <x:c r="C199" s="91"/>
      <x:c r="D199" s="91"/>
      <x:c r="E199" s="91"/>
      <x:c r="F199" s="91"/>
      <x:c r="G199" s="91"/>
      <x:c r="H199" s="91"/>
      <x:c r="I199" s="91"/>
      <x:c r="J199" s="91"/>
      <x:c r="K199" s="91"/>
      <x:c r="L199" s="91"/>
      <x:c r="M199" s="91"/>
      <x:c r="N199" s="91"/>
      <x:c r="O199" s="91"/>
      <x:c r="P199" s="91"/>
      <x:c r="Q199" s="91"/>
      <x:c r="R199" s="91"/>
      <x:c r="S199" s="91"/>
      <x:c r="T199" s="91"/>
      <x:c r="U199" s="91"/>
      <x:c r="V199" s="91"/>
      <x:c r="W199" s="91"/>
      <x:c r="X199" s="91"/>
      <x:c r="Y199" s="91"/>
      <x:c r="Z199" s="91"/>
    </x:row>
    <x:row r="200">
      <x:c r="A200" s="91"/>
      <x:c r="B200" s="91"/>
      <x:c r="C200" s="91"/>
      <x:c r="D200" s="91"/>
      <x:c r="E200" s="91"/>
      <x:c r="F200" s="91"/>
      <x:c r="G200" s="91"/>
      <x:c r="H200" s="91"/>
      <x:c r="I200" s="91"/>
      <x:c r="J200" s="91"/>
      <x:c r="K200" s="91"/>
      <x:c r="L200" s="91"/>
      <x:c r="M200" s="91"/>
      <x:c r="N200" s="91"/>
      <x:c r="O200" s="91"/>
      <x:c r="P200" s="91"/>
      <x:c r="Q200" s="91"/>
      <x:c r="R200" s="91"/>
      <x:c r="S200" s="91"/>
      <x:c r="T200" s="91"/>
      <x:c r="U200" s="91"/>
      <x:c r="V200" s="91"/>
      <x:c r="W200" s="91"/>
      <x:c r="X200" s="91"/>
      <x:c r="Y200" s="91"/>
      <x:c r="Z200" s="91"/>
    </x:row>
    <x:row r="201">
      <x:c r="A201" s="91"/>
      <x:c r="B201" s="91"/>
      <x:c r="C201" s="91"/>
      <x:c r="D201" s="91"/>
      <x:c r="E201" s="91"/>
      <x:c r="F201" s="91"/>
      <x:c r="G201" s="91"/>
      <x:c r="H201" s="91"/>
      <x:c r="I201" s="91"/>
      <x:c r="J201" s="91"/>
      <x:c r="K201" s="91"/>
      <x:c r="L201" s="91"/>
      <x:c r="M201" s="91"/>
      <x:c r="N201" s="91"/>
      <x:c r="O201" s="91"/>
      <x:c r="P201" s="91"/>
      <x:c r="Q201" s="91"/>
      <x:c r="R201" s="91"/>
      <x:c r="S201" s="91"/>
      <x:c r="T201" s="91"/>
      <x:c r="U201" s="91"/>
      <x:c r="V201" s="91"/>
      <x:c r="W201" s="91"/>
      <x:c r="X201" s="91"/>
      <x:c r="Y201" s="91"/>
      <x:c r="Z201" s="91"/>
    </x:row>
    <x:row r="202">
      <x:c r="A202" s="91"/>
      <x:c r="B202" s="91"/>
      <x:c r="C202" s="91"/>
      <x:c r="D202" s="91"/>
      <x:c r="E202" s="91"/>
      <x:c r="F202" s="91"/>
      <x:c r="G202" s="91"/>
      <x:c r="H202" s="91"/>
      <x:c r="I202" s="91"/>
      <x:c r="J202" s="91"/>
      <x:c r="K202" s="91"/>
      <x:c r="L202" s="91"/>
      <x:c r="M202" s="91"/>
      <x:c r="N202" s="91"/>
      <x:c r="O202" s="91"/>
      <x:c r="P202" s="91"/>
      <x:c r="Q202" s="91"/>
      <x:c r="R202" s="91"/>
      <x:c r="S202" s="91"/>
      <x:c r="T202" s="91"/>
      <x:c r="U202" s="91"/>
      <x:c r="V202" s="91"/>
      <x:c r="W202" s="91"/>
      <x:c r="X202" s="91"/>
      <x:c r="Y202" s="91"/>
      <x:c r="Z202" s="91"/>
    </x:row>
    <x:row r="203">
      <x:c r="A203" s="91"/>
      <x:c r="B203" s="91"/>
      <x:c r="C203" s="91"/>
      <x:c r="D203" s="91"/>
      <x:c r="E203" s="91"/>
      <x:c r="F203" s="91"/>
      <x:c r="G203" s="91"/>
      <x:c r="H203" s="91"/>
      <x:c r="I203" s="91"/>
      <x:c r="J203" s="91"/>
      <x:c r="K203" s="91"/>
      <x:c r="L203" s="91"/>
      <x:c r="M203" s="91"/>
      <x:c r="N203" s="91"/>
      <x:c r="O203" s="91"/>
      <x:c r="P203" s="91"/>
      <x:c r="Q203" s="91"/>
      <x:c r="R203" s="91"/>
      <x:c r="S203" s="91"/>
      <x:c r="T203" s="91"/>
      <x:c r="U203" s="91"/>
      <x:c r="V203" s="91"/>
      <x:c r="W203" s="91"/>
      <x:c r="X203" s="91"/>
      <x:c r="Y203" s="91"/>
      <x:c r="Z203" s="91"/>
    </x:row>
    <x:row r="204">
      <x:c r="A204" s="91"/>
      <x:c r="B204" s="91"/>
      <x:c r="C204" s="91"/>
      <x:c r="D204" s="91"/>
      <x:c r="E204" s="91"/>
      <x:c r="F204" s="91"/>
      <x:c r="G204" s="91"/>
      <x:c r="H204" s="91"/>
      <x:c r="I204" s="91"/>
      <x:c r="J204" s="91"/>
      <x:c r="K204" s="91"/>
      <x:c r="L204" s="91"/>
      <x:c r="M204" s="91"/>
      <x:c r="N204" s="91"/>
      <x:c r="O204" s="91"/>
      <x:c r="P204" s="91"/>
      <x:c r="Q204" s="91"/>
      <x:c r="R204" s="91"/>
      <x:c r="S204" s="91"/>
      <x:c r="T204" s="91"/>
      <x:c r="U204" s="91"/>
      <x:c r="V204" s="91"/>
      <x:c r="W204" s="91"/>
      <x:c r="X204" s="91"/>
      <x:c r="Y204" s="91"/>
      <x:c r="Z204" s="91"/>
    </x:row>
    <x:row r="205">
      <x:c r="A205" s="91"/>
      <x:c r="B205" s="91"/>
      <x:c r="C205" s="91"/>
      <x:c r="D205" s="91"/>
      <x:c r="E205" s="91"/>
      <x:c r="F205" s="91"/>
      <x:c r="G205" s="91"/>
      <x:c r="H205" s="91"/>
      <x:c r="I205" s="91"/>
      <x:c r="J205" s="91"/>
      <x:c r="K205" s="91"/>
      <x:c r="L205" s="91"/>
      <x:c r="M205" s="91"/>
      <x:c r="N205" s="91"/>
      <x:c r="O205" s="91"/>
      <x:c r="P205" s="91"/>
      <x:c r="Q205" s="91"/>
      <x:c r="R205" s="91"/>
      <x:c r="S205" s="91"/>
      <x:c r="T205" s="91"/>
      <x:c r="U205" s="91"/>
      <x:c r="V205" s="91"/>
      <x:c r="W205" s="91"/>
      <x:c r="X205" s="91"/>
      <x:c r="Y205" s="91"/>
      <x:c r="Z205" s="91"/>
    </x:row>
    <x:row r="206">
      <x:c r="A206" s="91"/>
      <x:c r="B206" s="91"/>
      <x:c r="C206" s="91"/>
      <x:c r="D206" s="91"/>
      <x:c r="E206" s="91"/>
      <x:c r="F206" s="91"/>
      <x:c r="G206" s="91"/>
      <x:c r="H206" s="91"/>
      <x:c r="I206" s="91"/>
      <x:c r="J206" s="91"/>
      <x:c r="K206" s="91"/>
      <x:c r="L206" s="91"/>
      <x:c r="M206" s="91"/>
      <x:c r="N206" s="91"/>
      <x:c r="O206" s="91"/>
      <x:c r="P206" s="91"/>
      <x:c r="Q206" s="91"/>
      <x:c r="R206" s="91"/>
      <x:c r="S206" s="91"/>
      <x:c r="T206" s="91"/>
      <x:c r="U206" s="91"/>
      <x:c r="V206" s="91"/>
      <x:c r="W206" s="91"/>
      <x:c r="X206" s="91"/>
      <x:c r="Y206" s="91"/>
      <x:c r="Z206" s="91"/>
    </x:row>
    <x:row r="207">
      <x:c r="A207" s="91"/>
      <x:c r="B207" s="91"/>
      <x:c r="C207" s="91"/>
      <x:c r="D207" s="91"/>
      <x:c r="E207" s="91"/>
      <x:c r="F207" s="91"/>
      <x:c r="G207" s="91"/>
      <x:c r="H207" s="91"/>
      <x:c r="I207" s="91"/>
      <x:c r="J207" s="91"/>
      <x:c r="K207" s="91"/>
      <x:c r="L207" s="91"/>
      <x:c r="M207" s="91"/>
      <x:c r="N207" s="91"/>
      <x:c r="O207" s="91"/>
      <x:c r="P207" s="91"/>
      <x:c r="Q207" s="91"/>
      <x:c r="R207" s="91"/>
      <x:c r="S207" s="91"/>
      <x:c r="T207" s="91"/>
      <x:c r="U207" s="91"/>
      <x:c r="V207" s="91"/>
      <x:c r="W207" s="91"/>
      <x:c r="X207" s="91"/>
      <x:c r="Y207" s="91"/>
      <x:c r="Z207" s="91"/>
    </x:row>
    <x:row r="208">
      <x:c r="A208" s="91"/>
      <x:c r="B208" s="91"/>
      <x:c r="C208" s="91"/>
      <x:c r="D208" s="91"/>
      <x:c r="E208" s="91"/>
      <x:c r="F208" s="91"/>
      <x:c r="G208" s="91"/>
      <x:c r="H208" s="91"/>
      <x:c r="I208" s="91"/>
      <x:c r="J208" s="91"/>
      <x:c r="K208" s="91"/>
      <x:c r="L208" s="91"/>
      <x:c r="M208" s="91"/>
      <x:c r="N208" s="91"/>
      <x:c r="O208" s="91"/>
      <x:c r="P208" s="91"/>
      <x:c r="Q208" s="91"/>
      <x:c r="R208" s="91"/>
      <x:c r="S208" s="91"/>
      <x:c r="T208" s="91"/>
      <x:c r="U208" s="91"/>
      <x:c r="V208" s="91"/>
      <x:c r="W208" s="91"/>
      <x:c r="X208" s="91"/>
      <x:c r="Y208" s="91"/>
      <x:c r="Z208" s="91"/>
    </x:row>
    <x:row r="209">
      <x:c r="A209" s="91"/>
      <x:c r="B209" s="91"/>
      <x:c r="C209" s="91"/>
      <x:c r="D209" s="91"/>
      <x:c r="E209" s="91"/>
      <x:c r="F209" s="91"/>
      <x:c r="G209" s="91"/>
      <x:c r="H209" s="91"/>
      <x:c r="I209" s="91"/>
      <x:c r="J209" s="91"/>
      <x:c r="K209" s="91"/>
      <x:c r="L209" s="91"/>
      <x:c r="M209" s="91"/>
      <x:c r="N209" s="91"/>
      <x:c r="O209" s="91"/>
      <x:c r="P209" s="91"/>
      <x:c r="Q209" s="91"/>
      <x:c r="R209" s="91"/>
      <x:c r="S209" s="91"/>
      <x:c r="T209" s="91"/>
      <x:c r="U209" s="91"/>
      <x:c r="V209" s="91"/>
      <x:c r="W209" s="91"/>
      <x:c r="X209" s="91"/>
      <x:c r="Y209" s="91"/>
      <x:c r="Z209" s="91"/>
    </x:row>
    <x:row r="210">
      <x:c r="A210" s="91"/>
      <x:c r="B210" s="91"/>
      <x:c r="C210" s="91"/>
      <x:c r="D210" s="91"/>
      <x:c r="E210" s="91"/>
      <x:c r="F210" s="91"/>
      <x:c r="G210" s="91"/>
      <x:c r="H210" s="91"/>
      <x:c r="I210" s="91"/>
      <x:c r="J210" s="91"/>
      <x:c r="K210" s="91"/>
      <x:c r="L210" s="91"/>
      <x:c r="M210" s="91"/>
      <x:c r="N210" s="91"/>
      <x:c r="O210" s="91"/>
      <x:c r="P210" s="91"/>
      <x:c r="Q210" s="91"/>
      <x:c r="R210" s="91"/>
      <x:c r="S210" s="91"/>
      <x:c r="T210" s="91"/>
      <x:c r="U210" s="91"/>
      <x:c r="V210" s="91"/>
      <x:c r="W210" s="91"/>
      <x:c r="X210" s="91"/>
      <x:c r="Y210" s="91"/>
      <x:c r="Z210" s="91"/>
    </x:row>
    <x:row r="211">
      <x:c r="A211" s="91"/>
      <x:c r="B211" s="91"/>
      <x:c r="C211" s="91"/>
      <x:c r="D211" s="91"/>
      <x:c r="E211" s="91"/>
      <x:c r="F211" s="91"/>
      <x:c r="G211" s="91"/>
      <x:c r="H211" s="91"/>
      <x:c r="I211" s="91"/>
      <x:c r="J211" s="91"/>
      <x:c r="K211" s="91"/>
      <x:c r="L211" s="91"/>
      <x:c r="M211" s="91"/>
      <x:c r="N211" s="91"/>
      <x:c r="O211" s="91"/>
      <x:c r="P211" s="91"/>
      <x:c r="Q211" s="91"/>
      <x:c r="R211" s="91"/>
      <x:c r="S211" s="91"/>
      <x:c r="T211" s="91"/>
      <x:c r="U211" s="91"/>
      <x:c r="V211" s="91"/>
      <x:c r="W211" s="91"/>
      <x:c r="X211" s="91"/>
      <x:c r="Y211" s="91"/>
      <x:c r="Z211" s="91"/>
    </x:row>
    <x:row r="212">
      <x:c r="A212" s="91"/>
      <x:c r="B212" s="91"/>
      <x:c r="C212" s="91"/>
      <x:c r="D212" s="91"/>
      <x:c r="E212" s="91"/>
      <x:c r="F212" s="91"/>
      <x:c r="G212" s="91"/>
      <x:c r="H212" s="91"/>
      <x:c r="I212" s="91"/>
      <x:c r="J212" s="91"/>
      <x:c r="K212" s="91"/>
      <x:c r="L212" s="91"/>
      <x:c r="M212" s="91"/>
      <x:c r="N212" s="91"/>
      <x:c r="O212" s="91"/>
      <x:c r="P212" s="91"/>
      <x:c r="Q212" s="91"/>
      <x:c r="R212" s="91"/>
      <x:c r="S212" s="91"/>
      <x:c r="T212" s="91"/>
      <x:c r="U212" s="91"/>
      <x:c r="V212" s="91"/>
      <x:c r="W212" s="91"/>
      <x:c r="X212" s="91"/>
      <x:c r="Y212" s="91"/>
      <x:c r="Z212" s="91"/>
    </x:row>
    <x:row r="213">
      <x:c r="A213" s="91"/>
      <x:c r="B213" s="91"/>
      <x:c r="C213" s="91"/>
      <x:c r="D213" s="91"/>
      <x:c r="E213" s="91"/>
      <x:c r="F213" s="91"/>
      <x:c r="G213" s="91"/>
      <x:c r="H213" s="91"/>
      <x:c r="I213" s="91"/>
      <x:c r="J213" s="91"/>
      <x:c r="K213" s="91"/>
      <x:c r="L213" s="91"/>
      <x:c r="M213" s="91"/>
      <x:c r="N213" s="91"/>
      <x:c r="O213" s="91"/>
      <x:c r="P213" s="91"/>
      <x:c r="Q213" s="91"/>
      <x:c r="R213" s="91"/>
      <x:c r="S213" s="91"/>
      <x:c r="T213" s="91"/>
      <x:c r="U213" s="91"/>
      <x:c r="V213" s="91"/>
      <x:c r="W213" s="91"/>
      <x:c r="X213" s="91"/>
      <x:c r="Y213" s="91"/>
      <x:c r="Z213" s="91"/>
    </x:row>
    <x:row r="214">
      <x:c r="A214" s="91"/>
      <x:c r="B214" s="91"/>
      <x:c r="C214" s="91"/>
      <x:c r="D214" s="91"/>
      <x:c r="E214" s="91"/>
      <x:c r="F214" s="91"/>
      <x:c r="G214" s="91"/>
      <x:c r="H214" s="91"/>
      <x:c r="I214" s="91"/>
      <x:c r="J214" s="91"/>
      <x:c r="K214" s="91"/>
      <x:c r="L214" s="91"/>
      <x:c r="M214" s="91"/>
      <x:c r="N214" s="91"/>
      <x:c r="O214" s="91"/>
      <x:c r="P214" s="91"/>
      <x:c r="Q214" s="91"/>
      <x:c r="R214" s="91"/>
      <x:c r="S214" s="91"/>
      <x:c r="T214" s="91"/>
      <x:c r="U214" s="91"/>
      <x:c r="V214" s="91"/>
      <x:c r="W214" s="91"/>
      <x:c r="X214" s="91"/>
      <x:c r="Y214" s="91"/>
      <x:c r="Z214" s="91"/>
    </x:row>
    <x:row r="215">
      <x:c r="A215" s="91"/>
      <x:c r="B215" s="91"/>
      <x:c r="C215" s="91"/>
      <x:c r="D215" s="91"/>
      <x:c r="E215" s="91"/>
      <x:c r="F215" s="91"/>
      <x:c r="G215" s="91"/>
      <x:c r="H215" s="91"/>
      <x:c r="I215" s="91"/>
      <x:c r="J215" s="91"/>
      <x:c r="K215" s="91"/>
      <x:c r="L215" s="91"/>
      <x:c r="M215" s="91"/>
      <x:c r="N215" s="91"/>
      <x:c r="O215" s="91"/>
      <x:c r="P215" s="91"/>
      <x:c r="Q215" s="91"/>
      <x:c r="R215" s="91"/>
      <x:c r="S215" s="91"/>
      <x:c r="T215" s="91"/>
      <x:c r="U215" s="91"/>
      <x:c r="V215" s="91"/>
      <x:c r="W215" s="91"/>
      <x:c r="X215" s="91"/>
      <x:c r="Y215" s="91"/>
      <x:c r="Z215" s="91"/>
    </x:row>
    <x:row r="216">
      <x:c r="A216" s="91"/>
      <x:c r="B216" s="91"/>
      <x:c r="C216" s="91"/>
      <x:c r="D216" s="91"/>
      <x:c r="E216" s="91"/>
      <x:c r="F216" s="91"/>
      <x:c r="G216" s="91"/>
      <x:c r="H216" s="91"/>
      <x:c r="I216" s="91"/>
      <x:c r="J216" s="91"/>
      <x:c r="K216" s="91"/>
      <x:c r="L216" s="91"/>
      <x:c r="M216" s="91"/>
      <x:c r="N216" s="91"/>
      <x:c r="O216" s="91"/>
      <x:c r="P216" s="91"/>
      <x:c r="Q216" s="91"/>
      <x:c r="R216" s="91"/>
      <x:c r="S216" s="91"/>
      <x:c r="T216" s="91"/>
      <x:c r="U216" s="91"/>
      <x:c r="V216" s="91"/>
      <x:c r="W216" s="91"/>
      <x:c r="X216" s="91"/>
      <x:c r="Y216" s="91"/>
      <x:c r="Z216" s="91"/>
    </x:row>
    <x:row r="217">
      <x:c r="A217" s="91"/>
      <x:c r="B217" s="91"/>
      <x:c r="C217" s="91"/>
      <x:c r="D217" s="91"/>
      <x:c r="E217" s="91"/>
      <x:c r="F217" s="91"/>
      <x:c r="G217" s="91"/>
      <x:c r="H217" s="91"/>
      <x:c r="I217" s="91"/>
      <x:c r="J217" s="91"/>
      <x:c r="K217" s="91"/>
      <x:c r="L217" s="91"/>
      <x:c r="M217" s="91"/>
      <x:c r="N217" s="91"/>
      <x:c r="O217" s="91"/>
      <x:c r="P217" s="91"/>
      <x:c r="Q217" s="91"/>
      <x:c r="R217" s="91"/>
      <x:c r="S217" s="91"/>
      <x:c r="T217" s="91"/>
      <x:c r="U217" s="91"/>
      <x:c r="V217" s="91"/>
      <x:c r="W217" s="91"/>
      <x:c r="X217" s="91"/>
      <x:c r="Y217" s="91"/>
      <x:c r="Z217" s="91"/>
    </x:row>
    <x:row r="218">
      <x:c r="A218" s="91"/>
      <x:c r="B218" s="91"/>
      <x:c r="C218" s="91"/>
      <x:c r="D218" s="91"/>
      <x:c r="E218" s="91"/>
      <x:c r="F218" s="91"/>
      <x:c r="G218" s="91"/>
      <x:c r="H218" s="91"/>
      <x:c r="I218" s="91"/>
      <x:c r="J218" s="91"/>
      <x:c r="K218" s="91"/>
      <x:c r="L218" s="91"/>
      <x:c r="M218" s="91"/>
      <x:c r="N218" s="91"/>
      <x:c r="O218" s="91"/>
      <x:c r="P218" s="91"/>
      <x:c r="Q218" s="91"/>
      <x:c r="R218" s="91"/>
      <x:c r="S218" s="91"/>
      <x:c r="T218" s="91"/>
      <x:c r="U218" s="91"/>
      <x:c r="V218" s="91"/>
      <x:c r="W218" s="91"/>
      <x:c r="X218" s="91"/>
      <x:c r="Y218" s="91"/>
      <x:c r="Z218" s="91"/>
    </x:row>
    <x:row r="219">
      <x:c r="A219" s="91"/>
      <x:c r="B219" s="91"/>
      <x:c r="C219" s="91"/>
      <x:c r="D219" s="91"/>
      <x:c r="E219" s="91"/>
      <x:c r="F219" s="91"/>
      <x:c r="G219" s="91"/>
      <x:c r="H219" s="91"/>
      <x:c r="I219" s="91"/>
      <x:c r="J219" s="91"/>
      <x:c r="K219" s="91"/>
      <x:c r="L219" s="91"/>
      <x:c r="M219" s="91"/>
      <x:c r="N219" s="91"/>
      <x:c r="O219" s="91"/>
      <x:c r="P219" s="91"/>
      <x:c r="Q219" s="91"/>
      <x:c r="R219" s="91"/>
      <x:c r="S219" s="91"/>
      <x:c r="T219" s="91"/>
      <x:c r="U219" s="91"/>
      <x:c r="V219" s="91"/>
      <x:c r="W219" s="91"/>
      <x:c r="X219" s="91"/>
      <x:c r="Y219" s="91"/>
      <x:c r="Z219" s="91"/>
    </x:row>
    <x:row r="220">
      <x:c r="A220" s="91"/>
      <x:c r="B220" s="91"/>
      <x:c r="C220" s="91"/>
      <x:c r="D220" s="91"/>
      <x:c r="E220" s="91"/>
      <x:c r="F220" s="91"/>
      <x:c r="G220" s="91"/>
      <x:c r="H220" s="91"/>
      <x:c r="I220" s="91"/>
      <x:c r="J220" s="91"/>
      <x:c r="K220" s="91"/>
      <x:c r="L220" s="91"/>
      <x:c r="M220" s="91"/>
      <x:c r="N220" s="91"/>
      <x:c r="O220" s="91"/>
      <x:c r="P220" s="91"/>
      <x:c r="Q220" s="91"/>
      <x:c r="R220" s="91"/>
      <x:c r="S220" s="91"/>
      <x:c r="T220" s="91"/>
      <x:c r="U220" s="91"/>
      <x:c r="V220" s="91"/>
      <x:c r="W220" s="91"/>
      <x:c r="X220" s="91"/>
      <x:c r="Y220" s="91"/>
      <x:c r="Z220" s="91"/>
    </x:row>
    <x:row r="221">
      <x:c r="A221" s="91"/>
      <x:c r="B221" s="91"/>
      <x:c r="C221" s="91"/>
      <x:c r="D221" s="91"/>
      <x:c r="E221" s="91"/>
      <x:c r="F221" s="91"/>
      <x:c r="G221" s="91"/>
      <x:c r="H221" s="91"/>
      <x:c r="I221" s="91"/>
      <x:c r="J221" s="91"/>
      <x:c r="K221" s="91"/>
      <x:c r="L221" s="91"/>
      <x:c r="M221" s="91"/>
      <x:c r="N221" s="91"/>
      <x:c r="O221" s="91"/>
      <x:c r="P221" s="91"/>
      <x:c r="Q221" s="91"/>
      <x:c r="R221" s="91"/>
      <x:c r="S221" s="91"/>
      <x:c r="T221" s="91"/>
      <x:c r="U221" s="91"/>
      <x:c r="V221" s="91"/>
      <x:c r="W221" s="91"/>
      <x:c r="X221" s="91"/>
      <x:c r="Y221" s="91"/>
      <x:c r="Z221" s="91"/>
    </x:row>
    <x:row r="222">
      <x:c r="A222" s="91"/>
      <x:c r="B222" s="91"/>
      <x:c r="C222" s="91"/>
      <x:c r="D222" s="91"/>
      <x:c r="E222" s="91"/>
      <x:c r="F222" s="91"/>
      <x:c r="G222" s="91"/>
      <x:c r="H222" s="91"/>
      <x:c r="I222" s="91"/>
      <x:c r="J222" s="91"/>
      <x:c r="K222" s="91"/>
      <x:c r="L222" s="91"/>
      <x:c r="M222" s="91"/>
      <x:c r="N222" s="91"/>
      <x:c r="O222" s="91"/>
      <x:c r="P222" s="91"/>
      <x:c r="Q222" s="91"/>
      <x:c r="R222" s="91"/>
      <x:c r="S222" s="91"/>
      <x:c r="T222" s="91"/>
      <x:c r="U222" s="91"/>
      <x:c r="V222" s="91"/>
      <x:c r="W222" s="91"/>
      <x:c r="X222" s="91"/>
      <x:c r="Y222" s="91"/>
      <x:c r="Z222" s="91"/>
    </x:row>
    <x:row r="223">
      <x:c r="A223" s="91"/>
      <x:c r="B223" s="91"/>
      <x:c r="C223" s="91"/>
      <x:c r="D223" s="91"/>
      <x:c r="E223" s="91"/>
      <x:c r="F223" s="91"/>
      <x:c r="G223" s="91"/>
      <x:c r="H223" s="91"/>
      <x:c r="I223" s="91"/>
      <x:c r="J223" s="91"/>
      <x:c r="K223" s="91"/>
      <x:c r="L223" s="91"/>
      <x:c r="M223" s="91"/>
      <x:c r="N223" s="91"/>
      <x:c r="O223" s="91"/>
      <x:c r="P223" s="91"/>
      <x:c r="Q223" s="91"/>
      <x:c r="R223" s="91"/>
      <x:c r="S223" s="91"/>
      <x:c r="T223" s="91"/>
      <x:c r="U223" s="91"/>
      <x:c r="V223" s="91"/>
      <x:c r="W223" s="91"/>
      <x:c r="X223" s="91"/>
      <x:c r="Y223" s="91"/>
      <x:c r="Z223" s="91"/>
    </x:row>
    <x:row r="224">
      <x:c r="A224" s="91"/>
      <x:c r="B224" s="91"/>
      <x:c r="C224" s="91"/>
      <x:c r="D224" s="91"/>
      <x:c r="E224" s="91"/>
      <x:c r="F224" s="91"/>
      <x:c r="G224" s="91"/>
      <x:c r="H224" s="91"/>
      <x:c r="I224" s="91"/>
      <x:c r="J224" s="91"/>
      <x:c r="K224" s="91"/>
      <x:c r="L224" s="91"/>
      <x:c r="M224" s="91"/>
      <x:c r="N224" s="91"/>
      <x:c r="O224" s="91"/>
      <x:c r="P224" s="91"/>
      <x:c r="Q224" s="91"/>
      <x:c r="R224" s="91"/>
      <x:c r="S224" s="91"/>
      <x:c r="T224" s="91"/>
      <x:c r="U224" s="91"/>
      <x:c r="V224" s="91"/>
      <x:c r="W224" s="91"/>
      <x:c r="X224" s="91"/>
      <x:c r="Y224" s="91"/>
      <x:c r="Z224" s="91"/>
    </x:row>
    <x:row r="225">
      <x:c r="A225" s="91"/>
      <x:c r="B225" s="91"/>
      <x:c r="C225" s="91"/>
      <x:c r="D225" s="91"/>
      <x:c r="E225" s="91"/>
      <x:c r="F225" s="91"/>
      <x:c r="G225" s="91"/>
      <x:c r="H225" s="91"/>
      <x:c r="I225" s="91"/>
      <x:c r="J225" s="91"/>
      <x:c r="K225" s="91"/>
      <x:c r="L225" s="91"/>
      <x:c r="M225" s="91"/>
      <x:c r="N225" s="91"/>
      <x:c r="O225" s="91"/>
      <x:c r="P225" s="91"/>
      <x:c r="Q225" s="91"/>
      <x:c r="R225" s="91"/>
      <x:c r="S225" s="91"/>
      <x:c r="T225" s="91"/>
      <x:c r="U225" s="91"/>
      <x:c r="V225" s="91"/>
      <x:c r="W225" s="91"/>
      <x:c r="X225" s="91"/>
      <x:c r="Y225" s="91"/>
      <x:c r="Z225" s="91"/>
    </x:row>
    <x:row r="226">
      <x:c r="A226" s="91"/>
      <x:c r="B226" s="91"/>
      <x:c r="C226" s="91"/>
      <x:c r="D226" s="91"/>
      <x:c r="E226" s="91"/>
      <x:c r="F226" s="91"/>
      <x:c r="G226" s="91"/>
      <x:c r="H226" s="91"/>
      <x:c r="I226" s="91"/>
      <x:c r="J226" s="91"/>
      <x:c r="K226" s="91"/>
      <x:c r="L226" s="91"/>
      <x:c r="M226" s="91"/>
      <x:c r="N226" s="91"/>
      <x:c r="O226" s="91"/>
      <x:c r="P226" s="91"/>
      <x:c r="Q226" s="91"/>
      <x:c r="R226" s="91"/>
      <x:c r="S226" s="91"/>
      <x:c r="T226" s="91"/>
      <x:c r="U226" s="91"/>
      <x:c r="V226" s="91"/>
      <x:c r="W226" s="91"/>
      <x:c r="X226" s="91"/>
      <x:c r="Y226" s="91"/>
      <x:c r="Z226" s="91"/>
    </x:row>
    <x:row r="227">
      <x:c r="A227" s="91"/>
      <x:c r="B227" s="91"/>
      <x:c r="C227" s="91"/>
      <x:c r="D227" s="91"/>
      <x:c r="E227" s="91"/>
      <x:c r="F227" s="91"/>
      <x:c r="G227" s="91"/>
      <x:c r="H227" s="91"/>
      <x:c r="I227" s="91"/>
      <x:c r="J227" s="91"/>
      <x:c r="K227" s="91"/>
      <x:c r="L227" s="91"/>
      <x:c r="M227" s="91"/>
      <x:c r="N227" s="91"/>
      <x:c r="O227" s="91"/>
      <x:c r="P227" s="91"/>
      <x:c r="Q227" s="91"/>
      <x:c r="R227" s="91"/>
      <x:c r="S227" s="91"/>
      <x:c r="T227" s="91"/>
      <x:c r="U227" s="91"/>
      <x:c r="V227" s="91"/>
      <x:c r="W227" s="91"/>
      <x:c r="X227" s="91"/>
      <x:c r="Y227" s="91"/>
      <x:c r="Z227" s="91"/>
    </x:row>
    <x:row r="228">
      <x:c r="A228" s="91"/>
      <x:c r="B228" s="91"/>
      <x:c r="C228" s="91"/>
      <x:c r="D228" s="91"/>
      <x:c r="E228" s="91"/>
      <x:c r="F228" s="91"/>
      <x:c r="G228" s="91"/>
      <x:c r="H228" s="91"/>
      <x:c r="I228" s="91"/>
      <x:c r="J228" s="91"/>
      <x:c r="K228" s="91"/>
      <x:c r="L228" s="91"/>
      <x:c r="M228" s="91"/>
      <x:c r="N228" s="91"/>
      <x:c r="O228" s="91"/>
      <x:c r="P228" s="91"/>
      <x:c r="Q228" s="91"/>
      <x:c r="R228" s="91"/>
      <x:c r="S228" s="91"/>
      <x:c r="T228" s="91"/>
      <x:c r="U228" s="91"/>
      <x:c r="V228" s="91"/>
      <x:c r="W228" s="91"/>
      <x:c r="X228" s="91"/>
      <x:c r="Y228" s="91"/>
      <x:c r="Z228" s="91"/>
    </x:row>
    <x:row r="229">
      <x:c r="A229" s="91"/>
      <x:c r="B229" s="91"/>
      <x:c r="C229" s="91"/>
      <x:c r="D229" s="91"/>
      <x:c r="E229" s="91"/>
      <x:c r="F229" s="91"/>
      <x:c r="G229" s="91"/>
      <x:c r="H229" s="91"/>
      <x:c r="I229" s="91"/>
      <x:c r="J229" s="91"/>
      <x:c r="K229" s="91"/>
      <x:c r="L229" s="91"/>
      <x:c r="M229" s="91"/>
      <x:c r="N229" s="91"/>
      <x:c r="O229" s="91"/>
      <x:c r="P229" s="91"/>
      <x:c r="Q229" s="91"/>
      <x:c r="R229" s="91"/>
      <x:c r="S229" s="91"/>
      <x:c r="T229" s="91"/>
      <x:c r="U229" s="91"/>
      <x:c r="V229" s="91"/>
      <x:c r="W229" s="91"/>
      <x:c r="X229" s="91"/>
      <x:c r="Y229" s="91"/>
      <x:c r="Z229" s="91"/>
    </x:row>
    <x:row r="230">
      <x:c r="A230" s="91"/>
      <x:c r="B230" s="91"/>
      <x:c r="C230" s="91"/>
      <x:c r="D230" s="91"/>
      <x:c r="E230" s="91"/>
      <x:c r="F230" s="91"/>
      <x:c r="G230" s="91"/>
      <x:c r="H230" s="91"/>
      <x:c r="I230" s="91"/>
      <x:c r="J230" s="91"/>
      <x:c r="K230" s="91"/>
      <x:c r="L230" s="91"/>
      <x:c r="M230" s="91"/>
      <x:c r="N230" s="91"/>
      <x:c r="O230" s="91"/>
      <x:c r="P230" s="91"/>
      <x:c r="Q230" s="91"/>
      <x:c r="R230" s="91"/>
      <x:c r="S230" s="91"/>
      <x:c r="T230" s="91"/>
      <x:c r="U230" s="91"/>
      <x:c r="V230" s="91"/>
      <x:c r="W230" s="91"/>
      <x:c r="X230" s="91"/>
      <x:c r="Y230" s="91"/>
      <x:c r="Z230" s="91"/>
    </x:row>
    <x:row r="231">
      <x:c r="A231" s="91"/>
      <x:c r="B231" s="91"/>
      <x:c r="C231" s="91"/>
      <x:c r="D231" s="91"/>
      <x:c r="E231" s="91"/>
      <x:c r="F231" s="91"/>
      <x:c r="G231" s="91"/>
      <x:c r="H231" s="91"/>
      <x:c r="I231" s="91"/>
      <x:c r="J231" s="91"/>
      <x:c r="K231" s="91"/>
      <x:c r="L231" s="91"/>
      <x:c r="M231" s="91"/>
      <x:c r="N231" s="91"/>
      <x:c r="O231" s="91"/>
      <x:c r="P231" s="91"/>
      <x:c r="Q231" s="91"/>
      <x:c r="R231" s="91"/>
      <x:c r="S231" s="91"/>
      <x:c r="T231" s="91"/>
      <x:c r="U231" s="91"/>
      <x:c r="V231" s="91"/>
      <x:c r="W231" s="91"/>
      <x:c r="X231" s="91"/>
      <x:c r="Y231" s="91"/>
      <x:c r="Z231" s="91"/>
    </x:row>
    <x:row r="232">
      <x:c r="A232" s="91"/>
      <x:c r="B232" s="91"/>
      <x:c r="C232" s="91"/>
      <x:c r="D232" s="91"/>
      <x:c r="E232" s="91"/>
      <x:c r="F232" s="91"/>
      <x:c r="G232" s="91"/>
      <x:c r="H232" s="91"/>
      <x:c r="I232" s="91"/>
      <x:c r="J232" s="91"/>
      <x:c r="K232" s="91"/>
      <x:c r="L232" s="91"/>
      <x:c r="M232" s="91"/>
      <x:c r="N232" s="91"/>
      <x:c r="O232" s="91"/>
      <x:c r="P232" s="91"/>
      <x:c r="Q232" s="91"/>
      <x:c r="R232" s="91"/>
      <x:c r="S232" s="91"/>
      <x:c r="T232" s="91"/>
      <x:c r="U232" s="91"/>
      <x:c r="V232" s="91"/>
      <x:c r="W232" s="91"/>
      <x:c r="X232" s="91"/>
      <x:c r="Y232" s="91"/>
      <x:c r="Z232" s="91"/>
    </x:row>
    <x:row r="233">
      <x:c r="A233" s="91"/>
      <x:c r="B233" s="91"/>
      <x:c r="C233" s="91"/>
      <x:c r="D233" s="91"/>
      <x:c r="E233" s="91"/>
      <x:c r="F233" s="91"/>
      <x:c r="G233" s="91"/>
      <x:c r="H233" s="91"/>
      <x:c r="I233" s="91"/>
      <x:c r="J233" s="91"/>
      <x:c r="K233" s="91"/>
      <x:c r="L233" s="91"/>
      <x:c r="M233" s="91"/>
      <x:c r="N233" s="91"/>
      <x:c r="O233" s="91"/>
      <x:c r="P233" s="91"/>
      <x:c r="Q233" s="91"/>
      <x:c r="R233" s="91"/>
      <x:c r="S233" s="91"/>
      <x:c r="T233" s="91"/>
      <x:c r="U233" s="91"/>
      <x:c r="V233" s="91"/>
      <x:c r="W233" s="91"/>
      <x:c r="X233" s="91"/>
      <x:c r="Y233" s="91"/>
      <x:c r="Z233" s="91"/>
    </x:row>
    <x:row r="234">
      <x:c r="A234" s="91"/>
      <x:c r="B234" s="91"/>
      <x:c r="C234" s="91"/>
      <x:c r="D234" s="91"/>
      <x:c r="E234" s="91"/>
      <x:c r="F234" s="91"/>
      <x:c r="G234" s="91"/>
      <x:c r="H234" s="91"/>
      <x:c r="I234" s="91"/>
      <x:c r="J234" s="91"/>
      <x:c r="K234" s="91"/>
      <x:c r="L234" s="91"/>
      <x:c r="M234" s="91"/>
      <x:c r="N234" s="91"/>
      <x:c r="O234" s="91"/>
      <x:c r="P234" s="91"/>
      <x:c r="Q234" s="91"/>
      <x:c r="R234" s="91"/>
      <x:c r="S234" s="91"/>
      <x:c r="T234" s="91"/>
      <x:c r="U234" s="91"/>
      <x:c r="V234" s="91"/>
      <x:c r="W234" s="91"/>
      <x:c r="X234" s="91"/>
      <x:c r="Y234" s="91"/>
      <x:c r="Z234" s="91"/>
    </x:row>
    <x:row r="235">
      <x:c r="A235" s="91"/>
      <x:c r="B235" s="91"/>
      <x:c r="C235" s="91"/>
      <x:c r="D235" s="91"/>
      <x:c r="E235" s="91"/>
      <x:c r="F235" s="91"/>
      <x:c r="G235" s="91"/>
      <x:c r="H235" s="91"/>
      <x:c r="I235" s="91"/>
      <x:c r="J235" s="91"/>
      <x:c r="K235" s="91"/>
      <x:c r="L235" s="91"/>
      <x:c r="M235" s="91"/>
      <x:c r="N235" s="91"/>
      <x:c r="O235" s="91"/>
      <x:c r="P235" s="91"/>
      <x:c r="Q235" s="91"/>
      <x:c r="R235" s="91"/>
      <x:c r="S235" s="91"/>
      <x:c r="T235" s="91"/>
      <x:c r="U235" s="91"/>
      <x:c r="V235" s="91"/>
      <x:c r="W235" s="91"/>
      <x:c r="X235" s="91"/>
      <x:c r="Y235" s="91"/>
      <x:c r="Z235" s="91"/>
    </x:row>
    <x:row r="236">
      <x:c r="A236" s="91"/>
      <x:c r="B236" s="91"/>
      <x:c r="C236" s="91"/>
      <x:c r="D236" s="91"/>
      <x:c r="E236" s="91"/>
      <x:c r="F236" s="91"/>
      <x:c r="G236" s="91"/>
      <x:c r="H236" s="91"/>
      <x:c r="I236" s="91"/>
      <x:c r="J236" s="91"/>
      <x:c r="K236" s="91"/>
      <x:c r="L236" s="91"/>
      <x:c r="M236" s="91"/>
      <x:c r="N236" s="91"/>
      <x:c r="O236" s="91"/>
      <x:c r="P236" s="91"/>
      <x:c r="Q236" s="91"/>
      <x:c r="R236" s="91"/>
      <x:c r="S236" s="91"/>
      <x:c r="T236" s="91"/>
      <x:c r="U236" s="91"/>
      <x:c r="V236" s="91"/>
      <x:c r="W236" s="91"/>
      <x:c r="X236" s="91"/>
      <x:c r="Y236" s="91"/>
      <x:c r="Z236" s="91"/>
    </x:row>
    <x:row r="237">
      <x:c r="A237" s="91"/>
      <x:c r="B237" s="91"/>
      <x:c r="C237" s="91"/>
      <x:c r="D237" s="91"/>
      <x:c r="E237" s="91"/>
      <x:c r="F237" s="91"/>
      <x:c r="G237" s="91"/>
      <x:c r="H237" s="91"/>
      <x:c r="I237" s="91"/>
      <x:c r="J237" s="91"/>
      <x:c r="K237" s="91"/>
      <x:c r="L237" s="91"/>
      <x:c r="M237" s="91"/>
      <x:c r="N237" s="91"/>
      <x:c r="O237" s="91"/>
      <x:c r="P237" s="91"/>
      <x:c r="Q237" s="91"/>
      <x:c r="R237" s="91"/>
      <x:c r="S237" s="91"/>
      <x:c r="T237" s="91"/>
      <x:c r="U237" s="91"/>
      <x:c r="V237" s="91"/>
      <x:c r="W237" s="91"/>
      <x:c r="X237" s="91"/>
      <x:c r="Y237" s="91"/>
      <x:c r="Z237" s="91"/>
    </x:row>
    <x:row r="238">
      <x:c r="A238" s="91"/>
      <x:c r="B238" s="91"/>
      <x:c r="C238" s="91"/>
      <x:c r="D238" s="91"/>
      <x:c r="E238" s="91"/>
      <x:c r="F238" s="91"/>
      <x:c r="G238" s="91"/>
      <x:c r="H238" s="91"/>
      <x:c r="I238" s="91"/>
      <x:c r="J238" s="91"/>
      <x:c r="K238" s="91"/>
      <x:c r="L238" s="91"/>
      <x:c r="M238" s="91"/>
      <x:c r="N238" s="91"/>
      <x:c r="O238" s="91"/>
      <x:c r="P238" s="91"/>
      <x:c r="Q238" s="91"/>
      <x:c r="R238" s="91"/>
      <x:c r="S238" s="91"/>
      <x:c r="T238" s="91"/>
      <x:c r="U238" s="91"/>
      <x:c r="V238" s="91"/>
      <x:c r="W238" s="91"/>
      <x:c r="X238" s="91"/>
      <x:c r="Y238" s="91"/>
      <x:c r="Z238" s="91"/>
    </x:row>
    <x:row r="239">
      <x:c r="A239" s="91"/>
      <x:c r="B239" s="91"/>
      <x:c r="C239" s="91"/>
      <x:c r="D239" s="91"/>
      <x:c r="E239" s="91"/>
      <x:c r="F239" s="91"/>
      <x:c r="G239" s="91"/>
      <x:c r="H239" s="91"/>
      <x:c r="I239" s="91"/>
      <x:c r="J239" s="91"/>
      <x:c r="K239" s="91"/>
      <x:c r="L239" s="91"/>
      <x:c r="M239" s="91"/>
      <x:c r="N239" s="91"/>
      <x:c r="O239" s="91"/>
      <x:c r="P239" s="91"/>
      <x:c r="Q239" s="91"/>
      <x:c r="R239" s="91"/>
      <x:c r="S239" s="91"/>
      <x:c r="T239" s="91"/>
      <x:c r="U239" s="91"/>
      <x:c r="V239" s="91"/>
      <x:c r="W239" s="91"/>
      <x:c r="X239" s="91"/>
      <x:c r="Y239" s="91"/>
      <x:c r="Z239" s="91"/>
    </x:row>
    <x:row r="240">
      <x:c r="A240" s="91"/>
      <x:c r="B240" s="91"/>
      <x:c r="C240" s="91"/>
      <x:c r="D240" s="91"/>
      <x:c r="E240" s="91"/>
      <x:c r="F240" s="91"/>
      <x:c r="G240" s="91"/>
      <x:c r="H240" s="91"/>
      <x:c r="I240" s="91"/>
      <x:c r="J240" s="91"/>
      <x:c r="K240" s="91"/>
      <x:c r="L240" s="91"/>
      <x:c r="M240" s="91"/>
      <x:c r="N240" s="91"/>
      <x:c r="O240" s="91"/>
      <x:c r="P240" s="91"/>
      <x:c r="Q240" s="91"/>
      <x:c r="R240" s="91"/>
      <x:c r="S240" s="91"/>
      <x:c r="T240" s="91"/>
      <x:c r="U240" s="91"/>
      <x:c r="V240" s="91"/>
      <x:c r="W240" s="91"/>
      <x:c r="X240" s="91"/>
      <x:c r="Y240" s="91"/>
      <x:c r="Z240" s="91"/>
    </x:row>
    <x:row r="241">
      <x:c r="A241" s="91"/>
      <x:c r="B241" s="91"/>
      <x:c r="C241" s="91"/>
      <x:c r="D241" s="91"/>
      <x:c r="E241" s="91"/>
      <x:c r="F241" s="91"/>
      <x:c r="G241" s="91"/>
      <x:c r="H241" s="91"/>
      <x:c r="I241" s="91"/>
      <x:c r="J241" s="91"/>
      <x:c r="K241" s="91"/>
      <x:c r="L241" s="91"/>
      <x:c r="M241" s="91"/>
      <x:c r="N241" s="91"/>
      <x:c r="O241" s="91"/>
      <x:c r="P241" s="91"/>
      <x:c r="Q241" s="91"/>
      <x:c r="R241" s="91"/>
      <x:c r="S241" s="91"/>
      <x:c r="T241" s="91"/>
      <x:c r="U241" s="91"/>
      <x:c r="V241" s="91"/>
      <x:c r="W241" s="91"/>
      <x:c r="X241" s="91"/>
      <x:c r="Y241" s="91"/>
      <x:c r="Z241" s="91"/>
    </x:row>
    <x:row r="242">
      <x:c r="A242" s="91"/>
      <x:c r="B242" s="91"/>
      <x:c r="C242" s="91"/>
      <x:c r="D242" s="91"/>
      <x:c r="E242" s="91"/>
      <x:c r="F242" s="91"/>
      <x:c r="G242" s="91"/>
      <x:c r="H242" s="91"/>
      <x:c r="I242" s="91"/>
      <x:c r="J242" s="91"/>
      <x:c r="K242" s="91"/>
      <x:c r="L242" s="91"/>
      <x:c r="M242" s="91"/>
      <x:c r="N242" s="91"/>
      <x:c r="O242" s="91"/>
      <x:c r="P242" s="91"/>
      <x:c r="Q242" s="91"/>
      <x:c r="R242" s="91"/>
      <x:c r="S242" s="91"/>
      <x:c r="T242" s="91"/>
      <x:c r="U242" s="91"/>
      <x:c r="V242" s="91"/>
      <x:c r="W242" s="91"/>
      <x:c r="X242" s="91"/>
      <x:c r="Y242" s="91"/>
      <x:c r="Z242" s="91"/>
    </x:row>
    <x:row r="243">
      <x:c r="A243" s="91"/>
      <x:c r="B243" s="91"/>
      <x:c r="C243" s="91"/>
      <x:c r="D243" s="91"/>
      <x:c r="E243" s="91"/>
      <x:c r="F243" s="91"/>
      <x:c r="G243" s="91"/>
      <x:c r="H243" s="91"/>
      <x:c r="I243" s="91"/>
      <x:c r="J243" s="91"/>
      <x:c r="K243" s="91"/>
      <x:c r="L243" s="91"/>
      <x:c r="M243" s="91"/>
      <x:c r="N243" s="91"/>
      <x:c r="O243" s="91"/>
      <x:c r="P243" s="91"/>
      <x:c r="Q243" s="91"/>
      <x:c r="R243" s="91"/>
      <x:c r="S243" s="91"/>
      <x:c r="T243" s="91"/>
      <x:c r="U243" s="91"/>
      <x:c r="V243" s="91"/>
      <x:c r="W243" s="91"/>
      <x:c r="X243" s="91"/>
      <x:c r="Y243" s="91"/>
      <x:c r="Z243" s="91"/>
    </x:row>
    <x:row r="244">
      <x:c r="A244" s="91"/>
      <x:c r="B244" s="91"/>
      <x:c r="C244" s="91"/>
      <x:c r="D244" s="91"/>
      <x:c r="E244" s="91"/>
      <x:c r="F244" s="91"/>
      <x:c r="G244" s="91"/>
      <x:c r="H244" s="91"/>
      <x:c r="I244" s="91"/>
      <x:c r="J244" s="91"/>
      <x:c r="K244" s="91"/>
      <x:c r="L244" s="91"/>
      <x:c r="M244" s="91"/>
      <x:c r="N244" s="91"/>
      <x:c r="O244" s="91"/>
      <x:c r="P244" s="91"/>
      <x:c r="Q244" s="91"/>
      <x:c r="R244" s="91"/>
      <x:c r="S244" s="91"/>
      <x:c r="T244" s="91"/>
      <x:c r="U244" s="91"/>
      <x:c r="V244" s="91"/>
      <x:c r="W244" s="91"/>
      <x:c r="X244" s="91"/>
      <x:c r="Y244" s="91"/>
      <x:c r="Z244" s="91"/>
    </x:row>
    <x:row r="245">
      <x:c r="A245" s="91"/>
      <x:c r="B245" s="91"/>
      <x:c r="C245" s="91"/>
      <x:c r="D245" s="91"/>
      <x:c r="E245" s="91"/>
      <x:c r="F245" s="91"/>
      <x:c r="G245" s="91"/>
      <x:c r="H245" s="91"/>
      <x:c r="I245" s="91"/>
      <x:c r="J245" s="91"/>
      <x:c r="K245" s="91"/>
      <x:c r="L245" s="91"/>
      <x:c r="M245" s="91"/>
      <x:c r="N245" s="91"/>
      <x:c r="O245" s="91"/>
      <x:c r="P245" s="91"/>
      <x:c r="Q245" s="91"/>
      <x:c r="R245" s="91"/>
      <x:c r="S245" s="91"/>
      <x:c r="T245" s="91"/>
      <x:c r="U245" s="91"/>
      <x:c r="V245" s="91"/>
      <x:c r="W245" s="91"/>
      <x:c r="X245" s="91"/>
      <x:c r="Y245" s="91"/>
      <x:c r="Z245" s="91"/>
    </x:row>
    <x:row r="246">
      <x:c r="A246" s="91"/>
      <x:c r="B246" s="91"/>
      <x:c r="C246" s="91"/>
      <x:c r="D246" s="91"/>
      <x:c r="E246" s="91"/>
      <x:c r="F246" s="91"/>
      <x:c r="G246" s="91"/>
      <x:c r="H246" s="91"/>
      <x:c r="I246" s="91"/>
      <x:c r="J246" s="91"/>
      <x:c r="K246" s="91"/>
      <x:c r="L246" s="91"/>
      <x:c r="M246" s="91"/>
      <x:c r="N246" s="91"/>
      <x:c r="O246" s="91"/>
      <x:c r="P246" s="91"/>
      <x:c r="Q246" s="91"/>
      <x:c r="R246" s="91"/>
      <x:c r="S246" s="91"/>
      <x:c r="T246" s="91"/>
      <x:c r="U246" s="91"/>
      <x:c r="V246" s="91"/>
      <x:c r="W246" s="91"/>
      <x:c r="X246" s="91"/>
      <x:c r="Y246" s="91"/>
      <x:c r="Z246" s="91"/>
    </x:row>
    <x:row r="247">
      <x:c r="A247" s="91"/>
      <x:c r="B247" s="91"/>
      <x:c r="C247" s="91"/>
      <x:c r="D247" s="91"/>
      <x:c r="E247" s="91"/>
      <x:c r="F247" s="91"/>
      <x:c r="G247" s="91"/>
      <x:c r="H247" s="91"/>
      <x:c r="I247" s="91"/>
      <x:c r="J247" s="91"/>
      <x:c r="K247" s="91"/>
      <x:c r="L247" s="91"/>
      <x:c r="M247" s="91"/>
      <x:c r="N247" s="91"/>
      <x:c r="O247" s="91"/>
      <x:c r="P247" s="91"/>
      <x:c r="Q247" s="91"/>
      <x:c r="R247" s="91"/>
      <x:c r="S247" s="91"/>
      <x:c r="T247" s="91"/>
      <x:c r="U247" s="91"/>
      <x:c r="V247" s="91"/>
      <x:c r="W247" s="91"/>
      <x:c r="X247" s="91"/>
      <x:c r="Y247" s="91"/>
      <x:c r="Z247" s="91"/>
    </x:row>
    <x:row r="248">
      <x:c r="A248" s="91"/>
      <x:c r="B248" s="91"/>
      <x:c r="C248" s="91"/>
      <x:c r="D248" s="91"/>
      <x:c r="E248" s="91"/>
      <x:c r="F248" s="91"/>
      <x:c r="G248" s="91"/>
      <x:c r="H248" s="91"/>
      <x:c r="I248" s="91"/>
      <x:c r="J248" s="91"/>
      <x:c r="K248" s="91"/>
      <x:c r="L248" s="91"/>
      <x:c r="M248" s="91"/>
      <x:c r="N248" s="91"/>
      <x:c r="O248" s="91"/>
      <x:c r="P248" s="91"/>
      <x:c r="Q248" s="91"/>
      <x:c r="R248" s="91"/>
      <x:c r="S248" s="91"/>
      <x:c r="T248" s="91"/>
      <x:c r="U248" s="91"/>
      <x:c r="V248" s="91"/>
      <x:c r="W248" s="91"/>
      <x:c r="X248" s="91"/>
      <x:c r="Y248" s="91"/>
      <x:c r="Z248" s="91"/>
    </x:row>
    <x:row r="249">
      <x:c r="A249" s="91"/>
      <x:c r="B249" s="91"/>
      <x:c r="C249" s="91"/>
      <x:c r="D249" s="91"/>
      <x:c r="E249" s="91"/>
      <x:c r="F249" s="91"/>
      <x:c r="G249" s="91"/>
      <x:c r="H249" s="91"/>
      <x:c r="I249" s="91"/>
      <x:c r="J249" s="91"/>
      <x:c r="K249" s="91"/>
      <x:c r="L249" s="91"/>
      <x:c r="M249" s="91"/>
      <x:c r="N249" s="91"/>
      <x:c r="O249" s="91"/>
      <x:c r="P249" s="91"/>
      <x:c r="Q249" s="91"/>
      <x:c r="R249" s="91"/>
      <x:c r="S249" s="91"/>
      <x:c r="T249" s="91"/>
      <x:c r="U249" s="91"/>
      <x:c r="V249" s="91"/>
      <x:c r="W249" s="91"/>
      <x:c r="X249" s="91"/>
      <x:c r="Y249" s="91"/>
      <x:c r="Z249" s="91"/>
    </x:row>
    <x:row r="250">
      <x:c r="A250" s="91"/>
      <x:c r="B250" s="91"/>
      <x:c r="C250" s="91"/>
      <x:c r="D250" s="91"/>
      <x:c r="E250" s="91"/>
      <x:c r="F250" s="91"/>
      <x:c r="G250" s="91"/>
      <x:c r="H250" s="91"/>
      <x:c r="I250" s="91"/>
      <x:c r="J250" s="91"/>
      <x:c r="K250" s="91"/>
      <x:c r="L250" s="91"/>
      <x:c r="M250" s="91"/>
      <x:c r="N250" s="91"/>
      <x:c r="O250" s="91"/>
      <x:c r="P250" s="91"/>
      <x:c r="Q250" s="91"/>
      <x:c r="R250" s="91"/>
      <x:c r="S250" s="91"/>
      <x:c r="T250" s="91"/>
      <x:c r="U250" s="91"/>
      <x:c r="V250" s="91"/>
      <x:c r="W250" s="91"/>
      <x:c r="X250" s="91"/>
      <x:c r="Y250" s="91"/>
      <x:c r="Z250" s="91"/>
    </x:row>
  </x:sheetData>
  <x:pageMargins left="0.7" right="0.7" top="0.75" bottom="0.75" header="0.3" footer="0.3"/>
</x:worksheet>
</file>