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2ac55d790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0f0d5ea03347bc"/>
    <x:sheet xmlns:r="http://schemas.openxmlformats.org/officeDocument/2006/relationships" name="Detailed Plan" sheetId="2" r:id="R99356b343ea94d91"/>
    <x:sheet xmlns:r="http://schemas.openxmlformats.org/officeDocument/2006/relationships" name="Daily Sprint" sheetId="3" r:id="R08edeb88100d4115"/>
    <x:sheet xmlns:r="http://schemas.openxmlformats.org/officeDocument/2006/relationships" name="Deliverables" sheetId="4" r:id="Rfdd697cb41cd48b4"/>
    <x:sheet xmlns:r="http://schemas.openxmlformats.org/officeDocument/2006/relationships" name="RACI" sheetId="5" r:id="R2f1bfae8386849b2"/>
    <x:sheet xmlns:r="http://schemas.openxmlformats.org/officeDocument/2006/relationships" name="Dependencies" sheetId="6" r:id="R8eb38466b2cf441b"/>
    <x:sheet xmlns:r="http://schemas.openxmlformats.org/officeDocument/2006/relationships" name="Risks" sheetId="7" r:id="Ra3aff5f4967a46d8"/>
    <x:sheet xmlns:r="http://schemas.openxmlformats.org/officeDocument/2006/relationships" name="Acceptance Checklist" sheetId="8" r:id="R67ecbdef3c0e4935"/>
    <x:sheet xmlns:r="http://schemas.openxmlformats.org/officeDocument/2006/relationships" name="QA Scenarios" sheetId="9" r:id="R5ad700e927a945ac"/>
    <x:sheet xmlns:r="http://schemas.openxmlformats.org/officeDocument/2006/relationships" name="Lists" sheetId="10" r:id="R520fc280341a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674EA7"/>
      </x:patternFill>
    </x:fill>
    <x:fill>
      <x:patternFill patternType="solid">
        <x:fgColor rgb="FF7F6000"/>
      </x:patternFill>
    </x:fill>
    <x:fill>
      <x:patternFill patternType="solid">
        <x:fgColor rgb="FF990000"/>
      </x:patternFill>
    </x:fill>
    <x:fill>
      <x:patternFill patternType="solid">
        <x:fgColor rgb="FF38761D"/>
      </x:patternFill>
    </x:fill>
    <x:fill>
      <x:patternFill patternType="solid">
        <x:fgColor rgb="FF134F5C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3" fillId="8" borderId="1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db5a88bcb4ba9" /><Relationship Type="http://schemas.openxmlformats.org/officeDocument/2006/relationships/theme" Target="/xl/theme/theme1.xml" Id="R9787798af74a48cb" /><Relationship Type="http://schemas.openxmlformats.org/officeDocument/2006/relationships/sharedStrings" Target="/xl/sharedStrings.xml" Id="R4e8c824cbec242c4" /><Relationship Type="http://schemas.openxmlformats.org/officeDocument/2006/relationships/worksheet" Target="/xl/worksheets/sheet1.xml" Id="Rcc0f0d5ea03347bc" /><Relationship Type="http://schemas.openxmlformats.org/officeDocument/2006/relationships/worksheet" Target="/xl/worksheets/sheet2.xml" Id="R99356b343ea94d91" /><Relationship Type="http://schemas.openxmlformats.org/officeDocument/2006/relationships/worksheet" Target="/xl/worksheets/sheet3.xml" Id="R08edeb88100d4115" /><Relationship Type="http://schemas.openxmlformats.org/officeDocument/2006/relationships/worksheet" Target="/xl/worksheets/sheet4.xml" Id="Rfdd697cb41cd48b4" /><Relationship Type="http://schemas.openxmlformats.org/officeDocument/2006/relationships/worksheet" Target="/xl/worksheets/sheet5.xml" Id="R2f1bfae8386849b2" /><Relationship Type="http://schemas.openxmlformats.org/officeDocument/2006/relationships/worksheet" Target="/xl/worksheets/sheet6.xml" Id="R8eb38466b2cf441b" /><Relationship Type="http://schemas.openxmlformats.org/officeDocument/2006/relationships/worksheet" Target="/xl/worksheets/sheet7.xml" Id="Ra3aff5f4967a46d8" /><Relationship Type="http://schemas.openxmlformats.org/officeDocument/2006/relationships/worksheet" Target="/xl/worksheets/sheet8.xml" Id="R67ecbdef3c0e4935" /><Relationship Type="http://schemas.openxmlformats.org/officeDocument/2006/relationships/worksheet" Target="/xl/worksheets/sheet9.xml" Id="R5ad700e927a945ac" /><Relationship Type="http://schemas.openxmlformats.org/officeDocument/2006/relationships/worksheet" Target="/xl/worksheets/sheet10.xml" Id="R520fc280341a40e8" /></Relationships>
</file>

<file path=xl/tables/table1.xml><?xml version="1.0" encoding="utf-8"?>
<x:table xmlns:x="http://schemas.openxmlformats.org/spreadsheetml/2006/main" id="1" name="Phase4DetailedPlan" displayName="Phase4DetailedPlan" ref="A1:N43" headerRowCount="1">
  <x:tableColumns count="14">
    <x:tableColumn id="1" name="WBS"/>
    <x:tableColumn id="2" name="Workstream"/>
    <x:tableColumn id="3" name="Activity"/>
    <x:tableColumn id="4" name="Detailed Task Description"/>
    <x:tableColumn id="5" name="Deliverable"/>
    <x:tableColumn id="6" name="Owner"/>
    <x:tableColumn id="7" name="Support"/>
    <x:tableColumn id="8" name="Start Date"/>
    <x:tableColumn id="9" name="End Date"/>
    <x:tableColumn id="10" name="Priority"/>
    <x:tableColumn id="11" name="Status"/>
    <x:tableColumn id="12" name="Dependencies"/>
    <x:tableColumn id="13" name="Acceptance Criteria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ailySprintTable" displayName="DailySprintTable" ref="A1:G8" headerRowCount="1">
  <x:tableColumns count="7">
    <x:tableColumn id="1" name="Day"/>
    <x:tableColumn id="2" name="Date"/>
    <x:tableColumn id="3" name="Primary Focus"/>
    <x:tableColumn id="4" name="Key Activities"/>
    <x:tableColumn id="5" name="Owners"/>
    <x:tableColumn id="6" name="Expected End-of-Day Output"/>
    <x:tableColumn id="7" name="PM Checkpoint"/>
  </x:tableColumns>
  <x:tableStyleInfo name="TableStyleMedium2" showRowStripes="1"/>
</x:table>
</file>

<file path=xl/tables/table3.xml><?xml version="1.0" encoding="utf-8"?>
<x:table xmlns:x="http://schemas.openxmlformats.org/spreadsheetml/2006/main" id="3" name="DeliverablesTable" displayName="DeliverablesTable" ref="A1:H10" headerRowCount="1">
  <x:tableColumns count="8">
    <x:tableColumn id="1" name="ID"/>
    <x:tableColumn id="2" name="Deliverable"/>
    <x:tableColumn id="3" name="Description"/>
    <x:tableColumn id="4" name="Owner"/>
    <x:tableColumn id="5" name="Support"/>
    <x:tableColumn id="6" name="Due Date"/>
    <x:tableColumn id="7" name="Acceptance Criteria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ACITable" displayName="RACITable" ref="A1:F13" headerRowCount="1">
  <x:tableColumns count="6">
    <x:tableColumn id="1" name="Deliverable / Activity"/>
    <x:tableColumn id="2" name="Project Manager"/>
    <x:tableColumn id="3" name="Aayush"/>
    <x:tableColumn id="4" name="Pankaj"/>
    <x:tableColumn id="5" name="Poorvith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ependenciesTable" displayName="DependenciesTable" ref="A1:H8" headerRowCount="1">
  <x:tableColumns count="8">
    <x:tableColumn id="1" name="ID"/>
    <x:tableColumn id="2" name="Dependency"/>
    <x:tableColumn id="3" name="Required By"/>
    <x:tableColumn id="4" name="Owner"/>
    <x:tableColumn id="5" name="Due Date"/>
    <x:tableColumn id="6" name="Risk if Missing"/>
    <x:tableColumn id="7" name="Mitigation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RisksTable" displayName="RisksTable" ref="A1:I9" headerRowCount="1">
  <x:tableColumns count="9">
    <x:tableColumn id="1" name="Risk ID"/>
    <x:tableColumn id="2" name="Risk / Issue"/>
    <x:tableColumn id="3" name="Impact"/>
    <x:tableColumn id="4" name="Probability"/>
    <x:tableColumn id="5" name="Severity"/>
    <x:tableColumn id="6" name="Owner"/>
    <x:tableColumn id="7" name="Mitigation"/>
    <x:tableColumn id="8" name="Early Warning"/>
    <x:tableColumn id="9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AcceptanceTable" displayName="AcceptanceTable" ref="A1:F18" headerRowCount="1">
  <x:tableColumns count="6">
    <x:tableColumn id="1" name="Area"/>
    <x:tableColumn id="2" name="Acceptance Item"/>
    <x:tableColumn id="3" name="Owner"/>
    <x:tableColumn id="4" name="Required"/>
    <x:tableColumn id="5" name="Status"/>
    <x:tableColumn id="6" name="Evidence / Notes"/>
  </x:tableColumns>
  <x:tableStyleInfo name="TableStyleMedium2" showRowStripes="1"/>
</x:table>
</file>

<file path=xl/tables/table8.xml><?xml version="1.0" encoding="utf-8"?>
<x:table xmlns:x="http://schemas.openxmlformats.org/spreadsheetml/2006/main" id="8" name="QATable" displayName="QATable" ref="A1:H13" headerRowCount="1">
  <x:tableColumns count="8">
    <x:tableColumn id="1" name="Test ID"/>
    <x:tableColumn id="2" name="Scenario"/>
    <x:tableColumn id="3" name="Type"/>
    <x:tableColumn id="4" name="Owner"/>
    <x:tableColumn id="5" name="Day"/>
    <x:tableColumn id="6" name="Expected Result"/>
    <x:tableColumn id="7" name="Status"/>
    <x:tableColumn id="8" name="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46e60d5be3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5ec72ecb04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9b339b50a4b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a59acf05014e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4a2f5ccc244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a57edf70ad4f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9638bab6174d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68b33ee583430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82" t="str">
        <x:v>GuardianIQ Phase 4 - Governance Event Architecture Implementation Plan</x:v>
      </x:c>
      <x:c r="B1" s="82"/>
      <x:c r="C1" s="82"/>
      <x:c r="D1" s="82"/>
      <x:c r="E1" s="82"/>
      <x:c r="F1" s="82"/>
      <x:c r="G1" s="82"/>
      <x:c r="H1" s="82"/>
      <x:c r="I1" s="82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4" t="str">
        <x:v>Plan Window</x:v>
      </x:c>
      <x:c r="B2" s="84" t="str">
        <x:v>15-Jul-2026 to 21-Jul-2026</x:v>
      </x:c>
      <x:c r="C2" s="84" t="str">
        <x:v>Phase</x:v>
      </x:c>
      <x:c r="D2" s="84" t="str">
        <x:v>Phase 4 / Step 4</x:v>
      </x:c>
      <x:c r="E2" s="84" t="str">
        <x:v>Scope</x:v>
      </x:c>
      <x:c r="F2" s="84" t="str">
        <x:v>Governance Event Architecture, Event Store, Event APIs, Audit Timeline, UI views, QA</x:v>
      </x:c>
      <x:c r="G2" s="84" t="str">
        <x:v>Primary Source</x:v>
      </x:c>
      <x:c r="H2" s="84" t="str">
        <x:v>Step 4 Foundation</x:v>
      </x:c>
      <x:c r="I2" s="84" t="str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5" t="str">
        <x:v>KPI</x:v>
      </x:c>
      <x:c r="B4" s="85" t="str">
        <x:v>Value / Formula</x:v>
      </x:c>
      <x:c r="C4" s="85" t="str">
        <x:v>Target</x:v>
      </x:c>
      <x:c r="D4" s="85" t="str">
        <x:v>Owner</x:v>
      </x:c>
      <x:c r="E4" s="85" t="str">
        <x:v>Status</x:v>
      </x:c>
      <x:c r="F4" s="85" t="str">
        <x:v>Notes</x:v>
      </x:c>
      <x:c r="G4" s="85" t="str"/>
      <x:c r="H4" s="85" t="str"/>
      <x:c r="I4" s="85" t="str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6" t="str">
        <x:v>Total Activities</x:v>
      </x:c>
      <x:c r="B5" s="86" t="n">
        <x:f>COUNTA('Detailed Plan'!A2:A200)</x:f>
        <x:v>42</x:v>
      </x:c>
      <x:c r="C5" s="86" t="str">
        <x:v>45+</x:v>
      </x:c>
      <x:c r="D5" s="86" t="str">
        <x:v>PM</x:v>
      </x:c>
      <x:c r="E5" s="86" t="str">
        <x:v>Tracked</x:v>
      </x:c>
      <x:c r="F5" s="86" t="str">
        <x:v>Covers DB, backend, frontend, integration, QA and handover</x:v>
      </x:c>
      <x:c r="G5" s="86" t="str"/>
      <x:c r="H5" s="86" t="str"/>
      <x:c r="I5" s="86" t="str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6" t="str">
        <x:v>Critical Activities</x:v>
      </x:c>
      <x:c r="B6" s="86" t="n">
        <x:f>COUNTIF('Detailed Plan'!H2:H200,"Critical")</x:f>
        <x:v>0</x:v>
      </x:c>
      <x:c r="C6" s="86" t="str">
        <x:v>All assigned</x:v>
      </x:c>
      <x:c r="D6" s="86" t="str">
        <x:v>PM</x:v>
      </x:c>
      <x:c r="E6" s="86" t="str">
        <x:v>Tracked</x:v>
      </x:c>
      <x:c r="F6" s="86" t="str">
        <x:v>Critical path must complete by Day 6</x:v>
      </x:c>
      <x:c r="G6" s="86" t="str"/>
      <x:c r="H6" s="86" t="str"/>
      <x:c r="I6" s="86" t="str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6" t="str">
        <x:v>Completed Activities</x:v>
      </x:c>
      <x:c r="B7" s="86" t="n">
        <x:f>COUNTIF('Detailed Plan'!I2:I200,"Completed")</x:f>
        <x:v>0</x:v>
      </x:c>
      <x:c r="C7" s="86" t="str">
        <x:v>100%</x:v>
      </x:c>
      <x:c r="D7" s="86" t="str">
        <x:v>All</x:v>
      </x:c>
      <x:c r="E7" s="86" t="str">
        <x:v>Open</x:v>
      </x:c>
      <x:c r="F7" s="86" t="str">
        <x:v>Update daily</x:v>
      </x:c>
      <x:c r="G7" s="86" t="str"/>
      <x:c r="H7" s="86" t="str"/>
      <x:c r="I7" s="86" t="str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6" t="str">
        <x:v>Blocked Activities</x:v>
      </x:c>
      <x:c r="B8" s="86" t="n">
        <x:f>COUNTIF('Detailed Plan'!I2:I200,"Blocked")</x:f>
        <x:v>0</x:v>
      </x:c>
      <x:c r="C8" s="86" t="str">
        <x:v>0</x:v>
      </x:c>
      <x:c r="D8" s="86" t="str">
        <x:v>PM</x:v>
      </x:c>
      <x:c r="E8" s="86" t="str">
        <x:v>Open</x:v>
      </x:c>
      <x:c r="F8" s="86" t="str">
        <x:v>Daily escalation</x:v>
      </x:c>
      <x:c r="G8" s="86" t="str"/>
      <x:c r="H8" s="86" t="str"/>
      <x:c r="I8" s="86" t="str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6" t="str">
        <x:v>Key Deliverables</x:v>
      </x:c>
      <x:c r="B9" s="86" t="n">
        <x:f>COUNTA(Deliverables!A2:A100)</x:f>
        <x:v>9</x:v>
      </x:c>
      <x:c r="C9" s="86" t="str">
        <x:v>8+</x:v>
      </x:c>
      <x:c r="D9" s="86" t="str">
        <x:v>PM</x:v>
      </x:c>
      <x:c r="E9" s="86" t="str">
        <x:v>Tracked</x:v>
      </x:c>
      <x:c r="F9" s="86" t="str">
        <x:v>Deliverables are sign-off gates</x:v>
      </x:c>
      <x:c r="G9" s="86" t="str"/>
      <x:c r="H9" s="86" t="str"/>
      <x:c r="I9" s="86" t="str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6" t="str">
        <x:v>DB / Event Store Ready</x:v>
      </x:c>
      <x:c r="B10" s="86" t="str">
        <x:v>governance_events + outbox + processing logs</x:v>
      </x:c>
      <x:c r="C10" s="86" t="str">
        <x:v>Day 3</x:v>
      </x:c>
      <x:c r="D10" s="86" t="str">
        <x:v>Aayush</x:v>
      </x:c>
      <x:c r="E10" s="86" t="str">
        <x:v>Planned</x:v>
      </x:c>
      <x:c r="F10" s="86" t="str">
        <x:v>Foundation for all other work</x:v>
      </x:c>
      <x:c r="G10" s="86" t="str"/>
      <x:c r="H10" s="86" t="str"/>
      <x:c r="I10" s="86" t="str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6" t="str">
        <x:v>Event Publisher Ready</x:v>
      </x:c>
      <x:c r="B11" s="86" t="str">
        <x:v>Service + envelope + schema validation</x:v>
      </x:c>
      <x:c r="C11" s="86" t="str">
        <x:v>Day 4</x:v>
      </x:c>
      <x:c r="D11" s="86" t="str">
        <x:v>Pankaj</x:v>
      </x:c>
      <x:c r="E11" s="86" t="str">
        <x:v>Planned</x:v>
      </x:c>
      <x:c r="F11" s="86" t="str">
        <x:v>Used by all modules</x:v>
      </x:c>
      <x:c r="G11" s="86" t="str"/>
      <x:c r="H11" s="86" t="str"/>
      <x:c r="I11" s="86" t="str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6" t="str">
        <x:v>UI Timeline Ready</x:v>
      </x:c>
      <x:c r="B12" s="86" t="str">
        <x:v>Event Explorer + Audit Timeline</x:v>
      </x:c>
      <x:c r="C12" s="86" t="str">
        <x:v>Day 6</x:v>
      </x:c>
      <x:c r="D12" s="86" t="str">
        <x:v>Poorvith</x:v>
      </x:c>
      <x:c r="E12" s="86" t="str">
        <x:v>Planned</x:v>
      </x:c>
      <x:c r="F12" s="86" t="str">
        <x:v>Visible governance proof</x:v>
      </x:c>
      <x:c r="G12" s="86" t="str"/>
      <x:c r="H12" s="86" t="str"/>
      <x:c r="I12" s="86" t="str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6" t="str">
        <x:v>Final Handover</x:v>
      </x:c>
      <x:c r="B13" s="86" t="str">
        <x:v>Scripts + API docs + UI routes + QA evidence</x:v>
      </x:c>
      <x:c r="C13" s="86" t="str">
        <x:v>Day 7</x:v>
      </x:c>
      <x:c r="D13" s="86" t="str">
        <x:v>PM</x:v>
      </x:c>
      <x:c r="E13" s="86" t="str">
        <x:v>Planned</x:v>
      </x:c>
      <x:c r="F13" s="86" t="str">
        <x:v>Ready for continuation</x:v>
      </x:c>
      <x:c r="G13" s="86" t="str"/>
      <x:c r="H13" s="86" t="str"/>
      <x:c r="I13" s="86" t="str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48" hidden="0" customWidth="1"/>
    <x:col min="5" max="5" width="30" hidden="0" customWidth="1"/>
    <x:col min="6" max="6" width="18" hidden="0" customWidth="1"/>
    <x:col min="7" max="7" width="24" hidden="0" customWidth="1"/>
    <x:col min="8" max="8" width="14" hidden="0" customWidth="1"/>
    <x:col min="9" max="9" width="14" hidden="0" customWidth="1"/>
    <x:col min="10" max="10" width="12" hidden="0" customWidth="1"/>
    <x:col min="11" max="11" width="15" hidden="0" customWidth="1"/>
    <x:col min="12" max="12" width="34" hidden="0" customWidth="1"/>
    <x:col min="13" max="13" width="42" hidden="0" customWidth="1"/>
    <x:col min="14" max="14" width="26" hidden="0" customWidth="1"/>
  </x:cols>
  <x:sheetData>
    <x:row r="1">
      <x:c r="A1" s="85" t="str">
        <x:v>WBS</x:v>
      </x:c>
      <x:c r="B1" s="85" t="str">
        <x:v>Workstream</x:v>
      </x:c>
      <x:c r="C1" s="85" t="str">
        <x:v>Activity</x:v>
      </x:c>
      <x:c r="D1" s="85" t="str">
        <x:v>Detailed Task Description</x:v>
      </x:c>
      <x:c r="E1" s="85" t="str">
        <x:v>Deliverable</x:v>
      </x:c>
      <x:c r="F1" s="85" t="str">
        <x:v>Owner</x:v>
      </x:c>
      <x:c r="G1" s="85" t="str">
        <x:v>Support</x:v>
      </x:c>
      <x:c r="H1" s="85" t="str">
        <x:v>Start Date</x:v>
      </x:c>
      <x:c r="I1" s="85" t="str">
        <x:v>End Date</x:v>
      </x:c>
      <x:c r="J1" s="85" t="str">
        <x:v>Priority</x:v>
      </x:c>
      <x:c r="K1" s="85" t="str">
        <x:v>Status</x:v>
      </x:c>
      <x:c r="L1" s="85" t="str">
        <x:v>Dependencies</x:v>
      </x:c>
      <x:c r="M1" s="85" t="str">
        <x:v>Acceptance Criteria</x:v>
      </x:c>
      <x:c r="N1" s="85" t="str">
        <x:v>Notes</x:v>
      </x:c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4.1.1</x:v>
      </x:c>
      <x:c r="B2" s="83" t="str">
        <x:v>Project Management</x:v>
      </x:c>
      <x:c r="C2" s="83" t="str">
        <x:v>Phase 4 kickoff and scope lock</x:v>
      </x:c>
      <x:c r="D2" s="83" t="str">
        <x:v>Review Step 4 foundation and lock Phase 4 MVP scope: event store, outbox, publisher service, event APIs, audit timeline, event explorer, QA.</x:v>
      </x:c>
      <x:c r="E2" s="83" t="str">
        <x:v>Signed kickoff notes and sprint scope</x:v>
      </x:c>
      <x:c r="F2" s="83" t="str">
        <x:v>Project Manager</x:v>
      </x:c>
      <x:c r="G2" s="83" t="str">
        <x:v>All</x:v>
      </x:c>
      <x:c r="H2" s="83" t="str">
        <x:v>15-Jul-2026</x:v>
      </x:c>
      <x:c r="I2" s="83" t="str">
        <x:v>15-Jul-2026</x:v>
      </x:c>
      <x:c r="J2" s="83" t="str">
        <x:v>Critical</x:v>
      </x:c>
      <x:c r="K2" s="83" t="str">
        <x:v>Not Started</x:v>
      </x:c>
      <x:c r="L2" s="83" t="str">
        <x:v>Step 4 foundation available</x:v>
      </x:c>
      <x:c r="M2" s="83" t="str">
        <x:v>All owners understand event-first architecture and sprint outputs</x:v>
      </x:c>
      <x:c r="N2" s="83" t="str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4.1.2</x:v>
      </x:c>
      <x:c r="B3" s="83" t="str">
        <x:v>Project Management</x:v>
      </x:c>
      <x:c r="C3" s="83" t="str">
        <x:v>Create sprint tracker and daily cadence</x:v>
      </x:c>
      <x:c r="D3" s="83" t="str">
        <x:v>Set daily stand-up, defect triage, handover checkpoints and owner-specific outputs.</x:v>
      </x:c>
      <x:c r="E3" s="83" t="str">
        <x:v>Sprint tracker and cadence</x:v>
      </x:c>
      <x:c r="F3" s="83" t="str">
        <x:v>Project Manager</x:v>
      </x:c>
      <x:c r="G3" s="83" t="str">
        <x:v>All</x:v>
      </x:c>
      <x:c r="H3" s="83" t="str">
        <x:v>15-Jul-2026</x:v>
      </x:c>
      <x:c r="I3" s="83" t="str">
        <x:v>15-Jul-2026</x:v>
      </x:c>
      <x:c r="J3" s="83" t="str">
        <x:v>High</x:v>
      </x:c>
      <x:c r="K3" s="83" t="str">
        <x:v>Not Started</x:v>
      </x:c>
      <x:c r="L3" s="83" t="str">
        <x:v>Kickoff</x:v>
      </x:c>
      <x:c r="M3" s="83" t="str">
        <x:v>Daily checkpoints scheduled and tracker shared</x:v>
      </x:c>
      <x:c r="N3" s="83" t="str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4.1.3</x:v>
      </x:c>
      <x:c r="B4" s="83" t="str">
        <x:v>Architecture</x:v>
      </x:c>
      <x:c r="C4" s="83" t="str">
        <x:v>Confirm event taxonomy MVP</x:v>
      </x:c>
      <x:c r="D4" s="83" t="str">
        <x:v>Select event categories and event types for first implementation: registry, relationship, workflow run, approval, agent action, policy, risk, audit.</x:v>
      </x:c>
      <x:c r="E4" s="83" t="str">
        <x:v>Approved MVP event catalogue</x:v>
      </x:c>
      <x:c r="F4" s="83" t="str">
        <x:v>Aayush</x:v>
      </x:c>
      <x:c r="G4" s="83" t="str">
        <x:v>Pankaj, PM</x:v>
      </x:c>
      <x:c r="H4" s="83" t="str">
        <x:v>15-Jul-2026</x:v>
      </x:c>
      <x:c r="I4" s="83" t="str">
        <x:v>15-Jul-2026</x:v>
      </x:c>
      <x:c r="J4" s="83" t="str">
        <x:v>Critical</x:v>
      </x:c>
      <x:c r="K4" s="83" t="str">
        <x:v>Not Started</x:v>
      </x:c>
      <x:c r="L4" s="83" t="str">
        <x:v>Step 4 event taxonomy</x:v>
      </x:c>
      <x:c r="M4" s="83" t="str">
        <x:v>Event types finalized and mapped to source services</x:v>
      </x:c>
      <x:c r="N4" s="83" t="str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4.1.4</x:v>
      </x:c>
      <x:c r="B5" s="83" t="str">
        <x:v>Architecture</x:v>
      </x:c>
      <x:c r="C5" s="83" t="str">
        <x:v>Finalize canonical event envelope</x:v>
      </x:c>
      <x:c r="D5" s="83" t="str">
        <x:v>Freeze required fields: event_id, tenant_id, event_type, event_version, actor_json, subject_json, payload_json, correlation_id, causation_id, classification, retention_class.</x:v>
      </x:c>
      <x:c r="E5" s="83" t="str">
        <x:v>Canonical event envelope spec</x:v>
      </x:c>
      <x:c r="F5" s="83" t="str">
        <x:v>Pankaj</x:v>
      </x:c>
      <x:c r="G5" s="83" t="str">
        <x:v>Aayush</x:v>
      </x:c>
      <x:c r="H5" s="83" t="str">
        <x:v>15-Jul-2026</x:v>
      </x:c>
      <x:c r="I5" s="83" t="str">
        <x:v>15-Jul-2026</x:v>
      </x:c>
      <x:c r="J5" s="83" t="str">
        <x:v>Critical</x:v>
      </x:c>
      <x:c r="K5" s="83" t="str">
        <x:v>Not Started</x:v>
      </x:c>
      <x:c r="L5" s="83" t="str">
        <x:v>Event taxonomy</x:v>
      </x:c>
      <x:c r="M5" s="83" t="str">
        <x:v>Envelope fields approved by backend/frontend/QA</x:v>
      </x:c>
      <x:c r="N5" s="83" t="str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4.1.5</x:v>
      </x:c>
      <x:c r="B6" s="83" t="str">
        <x:v>Database</x:v>
      </x:c>
      <x:c r="C6" s="83" t="str">
        <x:v>Review Phase 0-3 data dependencies</x:v>
      </x:c>
      <x:c r="D6" s="83" t="str">
        <x:v>Review existing identity, registry, workflow, relationship and audit schemas to avoid duplication and align event subject references.</x:v>
      </x:c>
      <x:c r="E6" s="83" t="str">
        <x:v>Dependency assessment</x:v>
      </x:c>
      <x:c r="F6" s="83" t="str">
        <x:v>Aayush</x:v>
      </x:c>
      <x:c r="G6" s="83" t="str">
        <x:v>Pankaj</x:v>
      </x:c>
      <x:c r="H6" s="83" t="str">
        <x:v>15-Jul-2026</x:v>
      </x:c>
      <x:c r="I6" s="83" t="str">
        <x:v>15-Jul-2026</x:v>
      </x:c>
      <x:c r="J6" s="83" t="str">
        <x:v>Critical</x:v>
      </x:c>
      <x:c r="K6" s="83" t="str">
        <x:v>Not Started</x:v>
      </x:c>
      <x:c r="L6" s="83" t="str">
        <x:v>DB access</x:v>
      </x:c>
      <x:c r="M6" s="83" t="str">
        <x:v>Current tables and event touchpoints documented</x:v>
      </x:c>
      <x:c r="N6" s="83" t="str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4.1.6</x:v>
      </x:c>
      <x:c r="B7" s="83" t="str">
        <x:v>Frontend</x:v>
      </x:c>
      <x:c r="C7" s="83" t="str">
        <x:v>Confirm UI scope for Phase 4</x:v>
      </x:c>
      <x:c r="D7" s="83" t="str">
        <x:v>Confirm screens: Event Explorer, Audit Timeline, Event Detail Drawer, Dead Letter Queue view, Audit Export request panel and dashboard widgets.</x:v>
      </x:c>
      <x:c r="E7" s="83" t="str">
        <x:v>UI scope checklist</x:v>
      </x:c>
      <x:c r="F7" s="83" t="str">
        <x:v>Poorvith</x:v>
      </x:c>
      <x:c r="G7" s="83" t="str">
        <x:v>PM, Aayush</x:v>
      </x:c>
      <x:c r="H7" s="83" t="str">
        <x:v>15-Jul-2026</x:v>
      </x:c>
      <x:c r="I7" s="83" t="str">
        <x:v>15-Jul-2026</x:v>
      </x:c>
      <x:c r="J7" s="83" t="str">
        <x:v>High</x:v>
      </x:c>
      <x:c r="K7" s="83" t="str">
        <x:v>Not Started</x:v>
      </x:c>
      <x:c r="L7" s="83" t="str">
        <x:v>Volume 2A UX foundation</x:v>
      </x:c>
      <x:c r="M7" s="83" t="str">
        <x:v>Screens agreed and routes identified</x:v>
      </x:c>
      <x:c r="N7" s="83" t="str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4.2.1</x:v>
      </x:c>
      <x:c r="B8" s="83" t="str">
        <x:v>Database</x:v>
      </x:c>
      <x:c r="C8" s="83" t="str">
        <x:v>Design event physical model</x:v>
      </x:c>
      <x:c r="D8" s="83" t="str">
        <x:v>Design tables: governance_events, event_outbox, event_processing_log, event_dead_letter, event_schema_registry, event_retention_rules, event_export_log, audit_timeline_views/read model.</x:v>
      </x:c>
      <x:c r="E8" s="83" t="str">
        <x:v>Physical event model</x:v>
      </x:c>
      <x:c r="F8" s="83" t="str">
        <x:v>Aayush</x:v>
      </x:c>
      <x:c r="G8" s="83" t="str">
        <x:v>Pankaj</x:v>
      </x:c>
      <x:c r="H8" s="83" t="str">
        <x:v>16-Jul-2026</x:v>
      </x:c>
      <x:c r="I8" s="83" t="str">
        <x:v>16-Jul-2026</x:v>
      </x:c>
      <x:c r="J8" s="83" t="str">
        <x:v>Critical</x:v>
      </x:c>
      <x:c r="K8" s="83" t="str">
        <x:v>Not Started</x:v>
      </x:c>
      <x:c r="L8" s="83" t="str">
        <x:v>Dependency assessment</x:v>
      </x:c>
      <x:c r="M8" s="83" t="str">
        <x:v>Tables, columns, keys, JSONB fields and indexes defined</x:v>
      </x:c>
      <x:c r="N8" s="83" t="str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4.2.2</x:v>
      </x:c>
      <x:c r="B9" s="83" t="str">
        <x:v>Database</x:v>
      </x:c>
      <x:c r="C9" s="83" t="str">
        <x:v>Create migration scripts</x:v>
      </x:c>
      <x:c r="D9" s="83" t="str">
        <x:v>Write SQL migrations for event store, outbox, processing log, dead letter, schema registry and retention rules.</x:v>
      </x:c>
      <x:c r="E9" s="83" t="str">
        <x:v>DB migration scripts</x:v>
      </x:c>
      <x:c r="F9" s="83" t="str">
        <x:v>Aayush</x:v>
      </x:c>
      <x:c r="G9" s="83" t="str">
        <x:v>Pankaj</x:v>
      </x:c>
      <x:c r="H9" s="83" t="str">
        <x:v>16-Jul-2026</x:v>
      </x:c>
      <x:c r="I9" s="83" t="str">
        <x:v>17-Jul-2026</x:v>
      </x:c>
      <x:c r="J9" s="83" t="str">
        <x:v>Critical</x:v>
      </x:c>
      <x:c r="K9" s="83" t="str">
        <x:v>Not Started</x:v>
      </x:c>
      <x:c r="L9" s="83" t="str">
        <x:v>Physical event model</x:v>
      </x:c>
      <x:c r="M9" s="83" t="str">
        <x:v>Scripts run cleanly in dev DB</x:v>
      </x:c>
      <x:c r="N9" s="83" t="str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 t="str">
        <x:v>4.2.3</x:v>
      </x:c>
      <x:c r="B10" s="83" t="str">
        <x:v>Database</x:v>
      </x:c>
      <x:c r="C10" s="83" t="str">
        <x:v>Create event indexes and constraints</x:v>
      </x:c>
      <x:c r="D10" s="83" t="str">
        <x:v>Add indexes for tenant_id, event_type, occurred_at, correlation_id, subject_json, actor_json and payload_json where required.</x:v>
      </x:c>
      <x:c r="E10" s="83" t="str">
        <x:v>Index and constraint script</x:v>
      </x:c>
      <x:c r="F10" s="83" t="str">
        <x:v>Aayush</x:v>
      </x:c>
      <x:c r="G10" s="83" t="str">
        <x:v>Pankaj</x:v>
      </x:c>
      <x:c r="H10" s="83" t="str">
        <x:v>16-Jul-2026</x:v>
      </x:c>
      <x:c r="I10" s="83" t="str">
        <x:v>17-Jul-2026</x:v>
      </x:c>
      <x:c r="J10" s="83" t="str">
        <x:v>Critical</x:v>
      </x:c>
      <x:c r="K10" s="83" t="str">
        <x:v>Not Started</x:v>
      </x:c>
      <x:c r="L10" s="83" t="str">
        <x:v>DB migrations</x:v>
      </x:c>
      <x:c r="M10" s="83" t="str">
        <x:v>Event query paths are supported</x:v>
      </x:c>
      <x:c r="N10" s="83" t="str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 t="str">
        <x:v>4.2.4</x:v>
      </x:c>
      <x:c r="B11" s="83" t="str">
        <x:v>Database</x:v>
      </x:c>
      <x:c r="C11" s="83" t="str">
        <x:v>Seed event reference data</x:v>
      </x:c>
      <x:c r="D11" s="83" t="str">
        <x:v>Seed event categories, event types, schema versions, retention classes, classification levels and routing topics.</x:v>
      </x:c>
      <x:c r="E11" s="83" t="str">
        <x:v>Reference data seed script</x:v>
      </x:c>
      <x:c r="F11" s="83" t="str">
        <x:v>Aayush</x:v>
      </x:c>
      <x:c r="G11" s="83" t="str">
        <x:v>Pankaj</x:v>
      </x:c>
      <x:c r="H11" s="83" t="str">
        <x:v>16-Jul-2026</x:v>
      </x:c>
      <x:c r="I11" s="83" t="str">
        <x:v>17-Jul-2026</x:v>
      </x:c>
      <x:c r="J11" s="83" t="str">
        <x:v>High</x:v>
      </x:c>
      <x:c r="K11" s="83" t="str">
        <x:v>Not Started</x:v>
      </x:c>
      <x:c r="L11" s="83" t="str">
        <x:v>DB migrations</x:v>
      </x:c>
      <x:c r="M11" s="83" t="str">
        <x:v>Reference data visible to APIs/UI</x:v>
      </x:c>
      <x:c r="N11" s="83" t="str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 t="str">
        <x:v>4.2.5</x:v>
      </x:c>
      <x:c r="B12" s="83" t="str">
        <x:v>Backend</x:v>
      </x:c>
      <x:c r="C12" s="83" t="str">
        <x:v>Create event module structure</x:v>
      </x:c>
      <x:c r="D12" s="83" t="str">
        <x:v>Create backend module: events/models.py, schemas.py, repository.py, service.py, validators.py, router.py, dispatcher.py, event_types.py.</x:v>
      </x:c>
      <x:c r="E12" s="83" t="str">
        <x:v>Backend event module shell</x:v>
      </x:c>
      <x:c r="F12" s="83" t="str">
        <x:v>Pankaj</x:v>
      </x:c>
      <x:c r="G12" s="83" t="str">
        <x:v>Aayush</x:v>
      </x:c>
      <x:c r="H12" s="83" t="str">
        <x:v>16-Jul-2026</x:v>
      </x:c>
      <x:c r="I12" s="83" t="str">
        <x:v>16-Jul-2026</x:v>
      </x:c>
      <x:c r="J12" s="83" t="str">
        <x:v>Critical</x:v>
      </x:c>
      <x:c r="K12" s="83" t="str">
        <x:v>Not Started</x:v>
      </x:c>
      <x:c r="L12" s="83" t="str">
        <x:v>Event envelope spec</x:v>
      </x:c>
      <x:c r="M12" s="83" t="str">
        <x:v>Module builds and imports correctly</x:v>
      </x:c>
      <x:c r="N12" s="83" t="str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 t="str">
        <x:v>4.2.6</x:v>
      </x:c>
      <x:c r="B13" s="83" t="str">
        <x:v>Frontend</x:v>
      </x:c>
      <x:c r="C13" s="83" t="str">
        <x:v>Create UI route shells</x:v>
      </x:c>
      <x:c r="D13" s="83" t="str">
        <x:v>Create route shells for Event Explorer, Audit Timeline, Event Detail, Dead Letter Queue and Audit Export.</x:v>
      </x:c>
      <x:c r="E13" s="83" t="str">
        <x:v>Frontend route shells</x:v>
      </x:c>
      <x:c r="F13" s="83" t="str">
        <x:v>Poorvith</x:v>
      </x:c>
      <x:c r="G13" s="83" t="str">
        <x:v>Aayush</x:v>
      </x:c>
      <x:c r="H13" s="83" t="str">
        <x:v>16-Jul-2026</x:v>
      </x:c>
      <x:c r="I13" s="83" t="str">
        <x:v>17-Jul-2026</x:v>
      </x:c>
      <x:c r="J13" s="83" t="str">
        <x:v>High</x:v>
      </x:c>
      <x:c r="K13" s="83" t="str">
        <x:v>Not Started</x:v>
      </x:c>
      <x:c r="L13" s="83" t="str">
        <x:v>UI scope checklist</x:v>
      </x:c>
      <x:c r="M13" s="83" t="str">
        <x:v>Routes load with placeholder states</x:v>
      </x:c>
      <x:c r="N13" s="83" t="str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 t="str">
        <x:v>4.3.1</x:v>
      </x:c>
      <x:c r="B14" s="83" t="str">
        <x:v>Backend</x:v>
      </x:c>
      <x:c r="C14" s="83" t="str">
        <x:v>Implement GovernanceEvent schemas</x:v>
      </x:c>
      <x:c r="D14" s="83" t="str">
        <x:v>Implement Pydantic schemas for event create, event response, event search filters, timeline response, outbox and dead-letter records.</x:v>
      </x:c>
      <x:c r="E14" s="83" t="str">
        <x:v>Event schemas</x:v>
      </x:c>
      <x:c r="F14" s="83" t="str">
        <x:v>Pankaj</x:v>
      </x:c>
      <x:c r="G14" s="83" t="str">
        <x:v>Aayush</x:v>
      </x:c>
      <x:c r="H14" s="83" t="str">
        <x:v>17-Jul-2026</x:v>
      </x:c>
      <x:c r="I14" s="83" t="str">
        <x:v>17-Jul-2026</x:v>
      </x:c>
      <x:c r="J14" s="83" t="str">
        <x:v>Critical</x:v>
      </x:c>
      <x:c r="K14" s="83" t="str">
        <x:v>Not Started</x:v>
      </x:c>
      <x:c r="L14" s="83" t="str">
        <x:v>Event module shell</x:v>
      </x:c>
      <x:c r="M14" s="83" t="str">
        <x:v>Schemas validate canonical envelope</x:v>
      </x:c>
      <x:c r="N14" s="83" t="str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 t="str">
        <x:v>4.3.2</x:v>
      </x:c>
      <x:c r="B15" s="83" t="str">
        <x:v>Backend</x:v>
      </x:c>
      <x:c r="C15" s="83" t="str">
        <x:v>Implement EventRepository</x:v>
      </x:c>
      <x:c r="D15" s="83" t="str">
        <x:v>Implement append-only insert, search by type/date/actor/subject/correlation, single event lookup, and processing status lookup.</x:v>
      </x:c>
      <x:c r="E15" s="83" t="str">
        <x:v>EventRepository</x:v>
      </x:c>
      <x:c r="F15" s="83" t="str">
        <x:v>Pankaj</x:v>
      </x:c>
      <x:c r="G15" s="83" t="str">
        <x:v>Aayush</x:v>
      </x:c>
      <x:c r="H15" s="83" t="str">
        <x:v>17-Jul-2026</x:v>
      </x:c>
      <x:c r="I15" s="83" t="str">
        <x:v>18-Jul-2026</x:v>
      </x:c>
      <x:c r="J15" s="83" t="str">
        <x:v>Critical</x:v>
      </x:c>
      <x:c r="K15" s="83" t="str">
        <x:v>Not Started</x:v>
      </x:c>
      <x:c r="L15" s="83" t="str">
        <x:v>DB migrations</x:v>
      </x:c>
      <x:c r="M15" s="83" t="str">
        <x:v>Repository unit tests pass</x:v>
      </x:c>
      <x:c r="N15" s="83" t="str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 t="str">
        <x:v>4.3.3</x:v>
      </x:c>
      <x:c r="B16" s="83" t="str">
        <x:v>Backend</x:v>
      </x:c>
      <x:c r="C16" s="83" t="str">
        <x:v>Implement EventPublisherService</x:v>
      </x:c>
      <x:c r="D16" s="83" t="str">
        <x:v>Implement event creation, envelope enrichment, actor context, correlation_id handling, schema validation, event hashing and outbox enqueue.</x:v>
      </x:c>
      <x:c r="E16" s="83" t="str">
        <x:v>EventPublisherService</x:v>
      </x:c>
      <x:c r="F16" s="83" t="str">
        <x:v>Pankaj</x:v>
      </x:c>
      <x:c r="G16" s="83" t="str">
        <x:v>Aayush</x:v>
      </x:c>
      <x:c r="H16" s="83" t="str">
        <x:v>17-Jul-2026</x:v>
      </x:c>
      <x:c r="I16" s="83" t="str">
        <x:v>18-Jul-2026</x:v>
      </x:c>
      <x:c r="J16" s="83" t="str">
        <x:v>Critical</x:v>
      </x:c>
      <x:c r="K16" s="83" t="str">
        <x:v>Not Started</x:v>
      </x:c>
      <x:c r="L16" s="83" t="str">
        <x:v>Event schemas and repository</x:v>
      </x:c>
      <x:c r="M16" s="83" t="str">
        <x:v>Events are persisted and outbox record created</x:v>
      </x:c>
      <x:c r="N16" s="83" t="str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 t="str">
        <x:v>4.3.4</x:v>
      </x:c>
      <x:c r="B17" s="83" t="str">
        <x:v>Backend</x:v>
      </x:c>
      <x:c r="C17" s="83" t="str">
        <x:v>Implement event validation rules</x:v>
      </x:c>
      <x:c r="D17" s="83" t="str">
        <x:v>Validate required fields, event_type, event_version, tenant_id, actor, subject, classification, retention_class and payload size/sensitivity rules.</x:v>
      </x:c>
      <x:c r="E17" s="83" t="str">
        <x:v>Event validation service</x:v>
      </x:c>
      <x:c r="F17" s="83" t="str">
        <x:v>Pankaj</x:v>
      </x:c>
      <x:c r="G17" s="83" t="str">
        <x:v>Aayush</x:v>
      </x:c>
      <x:c r="H17" s="83" t="str">
        <x:v>17-Jul-2026</x:v>
      </x:c>
      <x:c r="I17" s="83" t="str">
        <x:v>18-Jul-2026</x:v>
      </x:c>
      <x:c r="J17" s="83" t="str">
        <x:v>Critical</x:v>
      </x:c>
      <x:c r="K17" s="83" t="str">
        <x:v>Not Started</x:v>
      </x:c>
      <x:c r="L17" s="83" t="str">
        <x:v>EventPublisherService</x:v>
      </x:c>
      <x:c r="M17" s="83" t="str">
        <x:v>Invalid events blocked with clear error</x:v>
      </x:c>
      <x:c r="N17" s="83" t="str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 t="str">
        <x:v>4.3.5</x:v>
      </x:c>
      <x:c r="B18" s="83" t="str">
        <x:v>Backend</x:v>
      </x:c>
      <x:c r="C18" s="83" t="str">
        <x:v>Implement event APIs MVP</x:v>
      </x:c>
      <x:c r="D18" s="83" t="str">
        <x:v>Implement POST /api/events, GET /api/events, GET /api/events/{id}, GET /api/events/subject/{type}/{id}, GET /api/events/correlation/{id}.</x:v>
      </x:c>
      <x:c r="E18" s="83" t="str">
        <x:v>Event API MVP</x:v>
      </x:c>
      <x:c r="F18" s="83" t="str">
        <x:v>Pankaj</x:v>
      </x:c>
      <x:c r="G18" s="83" t="str">
        <x:v>Aayush</x:v>
      </x:c>
      <x:c r="H18" s="83" t="str">
        <x:v>17-Jul-2026</x:v>
      </x:c>
      <x:c r="I18" s="83" t="str">
        <x:v>18-Jul-2026</x:v>
      </x:c>
      <x:c r="J18" s="83" t="str">
        <x:v>Critical</x:v>
      </x:c>
      <x:c r="K18" s="83" t="str">
        <x:v>Not Started</x:v>
      </x:c>
      <x:c r="L18" s="83" t="str">
        <x:v>Repository and publisher</x:v>
      </x:c>
      <x:c r="M18" s="83" t="str">
        <x:v>APIs work in Swagger/Postman</x:v>
      </x:c>
      <x:c r="N18" s="83" t="str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 t="str">
        <x:v>4.3.6</x:v>
      </x:c>
      <x:c r="B19" s="83" t="str">
        <x:v>Frontend</x:v>
      </x:c>
      <x:c r="C19" s="83" t="str">
        <x:v>Build Event Explorer table</x:v>
      </x:c>
      <x:c r="D19" s="83" t="str">
        <x:v>Create searchable/filterable grid with event type, category, actor, subject, risk, policy, occurred_at, correlation_id, classification and status.</x:v>
      </x:c>
      <x:c r="E19" s="83" t="str">
        <x:v>Event Explorer UI</x:v>
      </x:c>
      <x:c r="F19" s="83" t="str">
        <x:v>Poorvith</x:v>
      </x:c>
      <x:c r="G19" s="83" t="str">
        <x:v>Aayush</x:v>
      </x:c>
      <x:c r="H19" s="83" t="str">
        <x:v>17-Jul-2026</x:v>
      </x:c>
      <x:c r="I19" s="83" t="str">
        <x:v>19-Jul-2026</x:v>
      </x:c>
      <x:c r="J19" s="83" t="str">
        <x:v>High</x:v>
      </x:c>
      <x:c r="K19" s="83" t="str">
        <x:v>Not Started</x:v>
      </x:c>
      <x:c r="L19" s="83" t="str">
        <x:v>Route shells and API contract</x:v>
      </x:c>
      <x:c r="M19" s="83" t="str">
        <x:v>Grid binds to API and handles filters</x:v>
      </x:c>
      <x:c r="N19" s="83" t="str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 t="str">
        <x:v>4.4.1</x:v>
      </x:c>
      <x:c r="B20" s="83" t="str">
        <x:v>Backend</x:v>
      </x:c>
      <x:c r="C20" s="83" t="str">
        <x:v>Implement outbox dispatcher</x:v>
      </x:c>
      <x:c r="D20" s="83" t="str">
        <x:v>Create background dispatcher for event_outbox with status, retry_count, next_retry_at, error logging and dead-letter transition.</x:v>
      </x:c>
      <x:c r="E20" s="83" t="str">
        <x:v>Outbox dispatcher</x:v>
      </x:c>
      <x:c r="F20" s="83" t="str">
        <x:v>Pankaj</x:v>
      </x:c>
      <x:c r="G20" s="83" t="str">
        <x:v>Aayush</x:v>
      </x:c>
      <x:c r="H20" s="83" t="str">
        <x:v>18-Jul-2026</x:v>
      </x:c>
      <x:c r="I20" s="83" t="str">
        <x:v>19-Jul-2026</x:v>
      </x:c>
      <x:c r="J20" s="83" t="str">
        <x:v>Critical</x:v>
      </x:c>
      <x:c r="K20" s="83" t="str">
        <x:v>Not Started</x:v>
      </x:c>
      <x:c r="L20" s="83" t="str">
        <x:v>EventPublisherService</x:v>
      </x:c>
      <x:c r="M20" s="83" t="str">
        <x:v>Outbox processing works with retries</x:v>
      </x:c>
      <x:c r="N20" s="83" t="str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 t="str">
        <x:v>4.4.2</x:v>
      </x:c>
      <x:c r="B21" s="83" t="str">
        <x:v>Backend</x:v>
      </x:c>
      <x:c r="C21" s="83" t="str">
        <x:v>Implement processing log and dead letter APIs</x:v>
      </x:c>
      <x:c r="D21" s="83" t="str">
        <x:v>Implement event processing log write/read and dead-letter list/detail/retry APIs.</x:v>
      </x:c>
      <x:c r="E21" s="83" t="str">
        <x:v>Processing and DLQ APIs</x:v>
      </x:c>
      <x:c r="F21" s="83" t="str">
        <x:v>Pankaj</x:v>
      </x:c>
      <x:c r="G21" s="83" t="str">
        <x:v>Aayush</x:v>
      </x:c>
      <x:c r="H21" s="83" t="str">
        <x:v>18-Jul-2026</x:v>
      </x:c>
      <x:c r="I21" s="83" t="str">
        <x:v>19-Jul-2026</x:v>
      </x:c>
      <x:c r="J21" s="83" t="str">
        <x:v>High</x:v>
      </x:c>
      <x:c r="K21" s="83" t="str">
        <x:v>Not Started</x:v>
      </x:c>
      <x:c r="L21" s="83" t="str">
        <x:v>Outbox dispatcher</x:v>
      </x:c>
      <x:c r="M21" s="83" t="str">
        <x:v>Failed events visible and retryable</x:v>
      </x:c>
      <x:c r="N21" s="83" t="str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 t="str">
        <x:v>4.4.3</x:v>
      </x:c>
      <x:c r="B22" s="83" t="str">
        <x:v>Backend</x:v>
      </x:c>
      <x:c r="C22" s="83" t="str">
        <x:v>Implement audit timeline service</x:v>
      </x:c>
      <x:c r="D22" s="83" t="str">
        <x:v>Create timeline builder using event correlation, subject lookup, event ordering and display-friendly transformation.</x:v>
      </x:c>
      <x:c r="E22" s="83" t="str">
        <x:v>AuditTimelineService</x:v>
      </x:c>
      <x:c r="F22" s="83" t="str">
        <x:v>Pankaj</x:v>
      </x:c>
      <x:c r="G22" s="83" t="str">
        <x:v>Aayush</x:v>
      </x:c>
      <x:c r="H22" s="83" t="str">
        <x:v>18-Jul-2026</x:v>
      </x:c>
      <x:c r="I22" s="83" t="str">
        <x:v>19-Jul-2026</x:v>
      </x:c>
      <x:c r="J22" s="83" t="str">
        <x:v>Critical</x:v>
      </x:c>
      <x:c r="K22" s="83" t="str">
        <x:v>Not Started</x:v>
      </x:c>
      <x:c r="L22" s="83" t="str">
        <x:v>Event APIs</x:v>
      </x:c>
      <x:c r="M22" s="83" t="str">
        <x:v>Object and correlation timelines are reconstructable</x:v>
      </x:c>
      <x:c r="N22" s="83" t="str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 t="str">
        <x:v>4.4.4</x:v>
      </x:c>
      <x:c r="B23" s="83" t="str">
        <x:v>Backend</x:v>
      </x:c>
      <x:c r="C23" s="83" t="str">
        <x:v>Integrate event publisher with existing modules</x:v>
      </x:c>
      <x:c r="D23" s="83" t="str">
        <x:v>Add event emission hooks for model registry, agent registry, relationship changes, workflow schedule/run, approval and agent boundary events where available.</x:v>
      </x:c>
      <x:c r="E23" s="83" t="str">
        <x:v>Producer integrations</x:v>
      </x:c>
      <x:c r="F23" s="83" t="str">
        <x:v>Aayush</x:v>
      </x:c>
      <x:c r="G23" s="83" t="str">
        <x:v>Pankaj</x:v>
      </x:c>
      <x:c r="H23" s="83" t="str">
        <x:v>18-Jul-2026</x:v>
      </x:c>
      <x:c r="I23" s="83" t="str">
        <x:v>20-Jul-2026</x:v>
      </x:c>
      <x:c r="J23" s="83" t="str">
        <x:v>Critical</x:v>
      </x:c>
      <x:c r="K23" s="83" t="str">
        <x:v>Not Started</x:v>
      </x:c>
      <x:c r="L23" s="83" t="str">
        <x:v>EventPublisherService</x:v>
      </x:c>
      <x:c r="M23" s="83" t="str">
        <x:v>At least 5 key flows emit events</x:v>
      </x:c>
      <x:c r="N23" s="83" t="str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 t="str">
        <x:v>4.4.5</x:v>
      </x:c>
      <x:c r="B24" s="83" t="str">
        <x:v>Frontend</x:v>
      </x:c>
      <x:c r="C24" s="83" t="str">
        <x:v>Build Event Detail Drawer</x:v>
      </x:c>
      <x:c r="D24" s="83" t="str">
        <x:v>Create drawer with envelope metadata, actor, subject, risk context, policy context, payload JSON, integrity details and related timeline link.</x:v>
      </x:c>
      <x:c r="E24" s="83" t="str">
        <x:v>Event Detail Drawer</x:v>
      </x:c>
      <x:c r="F24" s="83" t="str">
        <x:v>Poorvith</x:v>
      </x:c>
      <x:c r="G24" s="83" t="str">
        <x:v>Pankaj</x:v>
      </x:c>
      <x:c r="H24" s="83" t="str">
        <x:v>18-Jul-2026</x:v>
      </x:c>
      <x:c r="I24" s="83" t="str">
        <x:v>19-Jul-2026</x:v>
      </x:c>
      <x:c r="J24" s="83" t="str">
        <x:v>High</x:v>
      </x:c>
      <x:c r="K24" s="83" t="str">
        <x:v>Not Started</x:v>
      </x:c>
      <x:c r="L24" s="83" t="str">
        <x:v>Event Explorer UI</x:v>
      </x:c>
      <x:c r="M24" s="83" t="str">
        <x:v>Drawer shows full event detail and formatted JSON</x:v>
      </x:c>
      <x:c r="N24" s="83" t="str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 t="str">
        <x:v>4.4.6</x:v>
      </x:c>
      <x:c r="B25" s="83" t="str">
        <x:v>Frontend</x:v>
      </x:c>
      <x:c r="C25" s="83" t="str">
        <x:v>Build Audit Timeline UI</x:v>
      </x:c>
      <x:c r="D25" s="83" t="str">
        <x:v>Create timeline view for subject and correlation flows showing ordered events, actor, decision, status, evidence/action links and duration.</x:v>
      </x:c>
      <x:c r="E25" s="83" t="str">
        <x:v>Audit Timeline UI</x:v>
      </x:c>
      <x:c r="F25" s="83" t="str">
        <x:v>Poorvith</x:v>
      </x:c>
      <x:c r="G25" s="83" t="str">
        <x:v>Aayush</x:v>
      </x:c>
      <x:c r="H25" s="83" t="str">
        <x:v>18-Jul-2026</x:v>
      </x:c>
      <x:c r="I25" s="83" t="str">
        <x:v>20-Jul-2026</x:v>
      </x:c>
      <x:c r="J25" s="83" t="str">
        <x:v>Critical</x:v>
      </x:c>
      <x:c r="K25" s="83" t="str">
        <x:v>Not Started</x:v>
      </x:c>
      <x:c r="L25" s="83" t="str">
        <x:v>Timeline API</x:v>
      </x:c>
      <x:c r="M25" s="83" t="str">
        <x:v>Timeline reconstructs event chain</x:v>
      </x:c>
      <x:c r="N25" s="83" t="str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 t="str">
        <x:v>4.5.1</x:v>
      </x:c>
      <x:c r="B26" s="83" t="str">
        <x:v>Backend</x:v>
      </x:c>
      <x:c r="C26" s="83" t="str">
        <x:v>Implement audit export API</x:v>
      </x:c>
      <x:c r="D26" s="83" t="str">
        <x:v>Create audit export request API with scope_json, event filters, export log, hash metadata and placeholder file reference.</x:v>
      </x:c>
      <x:c r="E26" s="83" t="str">
        <x:v>Audit export API</x:v>
      </x:c>
      <x:c r="F26" s="83" t="str">
        <x:v>Aayush</x:v>
      </x:c>
      <x:c r="G26" s="83" t="str">
        <x:v>Pankaj</x:v>
      </x:c>
      <x:c r="H26" s="83" t="str">
        <x:v>19-Jul-2026</x:v>
      </x:c>
      <x:c r="I26" s="83" t="str">
        <x:v>20-Jul-2026</x:v>
      </x:c>
      <x:c r="J26" s="83" t="str">
        <x:v>High</x:v>
      </x:c>
      <x:c r="K26" s="83" t="str">
        <x:v>Not Started</x:v>
      </x:c>
      <x:c r="L26" s="83" t="str">
        <x:v>Timeline service</x:v>
      </x:c>
      <x:c r="M26" s="83" t="str">
        <x:v>Export request logged and traceable</x:v>
      </x:c>
      <x:c r="N26" s="83" t="str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 t="str">
        <x:v>4.5.2</x:v>
      </x:c>
      <x:c r="B27" s="83" t="str">
        <x:v>Backend</x:v>
      </x:c>
      <x:c r="C27" s="83" t="str">
        <x:v>Implement retention and classification controls</x:v>
      </x:c>
      <x:c r="D27" s="83" t="str">
        <x:v>Add retention_class enforcement metadata and classification-based event visibility filters.</x:v>
      </x:c>
      <x:c r="E27" s="83" t="str">
        <x:v>Retention/classification controls</x:v>
      </x:c>
      <x:c r="F27" s="83" t="str">
        <x:v>Pankaj</x:v>
      </x:c>
      <x:c r="G27" s="83" t="str">
        <x:v>Aayush</x:v>
      </x:c>
      <x:c r="H27" s="83" t="str">
        <x:v>19-Jul-2026</x:v>
      </x:c>
      <x:c r="I27" s="83" t="str">
        <x:v>20-Jul-2026</x:v>
      </x:c>
      <x:c r="J27" s="83" t="str">
        <x:v>High</x:v>
      </x:c>
      <x:c r="K27" s="83" t="str">
        <x:v>Not Started</x:v>
      </x:c>
      <x:c r="L27" s="83" t="str">
        <x:v>Reference data</x:v>
      </x:c>
      <x:c r="M27" s="83" t="str">
        <x:v>Sensitive event access is filtered by permission</x:v>
      </x:c>
      <x:c r="N27" s="83" t="str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 t="str">
        <x:v>4.5.3</x:v>
      </x:c>
      <x:c r="B28" s="83" t="str">
        <x:v>Backend</x:v>
      </x:c>
      <x:c r="C28" s="83" t="str">
        <x:v>Implement event metrics endpoints</x:v>
      </x:c>
      <x:c r="D28" s="83" t="str">
        <x:v>Create dashboard endpoints for event counts by type/category, policy violations, SLA breaches, blocked agent actions, outbox lag and dead-letter count.</x:v>
      </x:c>
      <x:c r="E28" s="83" t="str">
        <x:v>Event metrics APIs</x:v>
      </x:c>
      <x:c r="F28" s="83" t="str">
        <x:v>Pankaj</x:v>
      </x:c>
      <x:c r="G28" s="83" t="str">
        <x:v>Aayush</x:v>
      </x:c>
      <x:c r="H28" s="83" t="str">
        <x:v>19-Jul-2026</x:v>
      </x:c>
      <x:c r="I28" s="83" t="str">
        <x:v>20-Jul-2026</x:v>
      </x:c>
      <x:c r="J28" s="83" t="str">
        <x:v>Medium</x:v>
      </x:c>
      <x:c r="K28" s="83" t="str">
        <x:v>Not Started</x:v>
      </x:c>
      <x:c r="L28" s="83" t="str">
        <x:v>Event repository</x:v>
      </x:c>
      <x:c r="M28" s="83" t="str">
        <x:v>Dashboard can consume metrics</x:v>
      </x:c>
      <x:c r="N28" s="83" t="str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 t="str">
        <x:v>4.5.4</x:v>
      </x:c>
      <x:c r="B29" s="83" t="str">
        <x:v>Frontend</x:v>
      </x:c>
      <x:c r="C29" s="83" t="str">
        <x:v>Build Dead Letter Queue screen</x:v>
      </x:c>
      <x:c r="D29" s="83" t="str">
        <x:v>Create screen for failed event processing with error details, retry action, filters and status badges.</x:v>
      </x:c>
      <x:c r="E29" s="83" t="str">
        <x:v>DLQ UI</x:v>
      </x:c>
      <x:c r="F29" s="83" t="str">
        <x:v>Poorvith</x:v>
      </x:c>
      <x:c r="G29" s="83" t="str">
        <x:v>Pankaj</x:v>
      </x:c>
      <x:c r="H29" s="83" t="str">
        <x:v>19-Jul-2026</x:v>
      </x:c>
      <x:c r="I29" s="83" t="str">
        <x:v>20-Jul-2026</x:v>
      </x:c>
      <x:c r="J29" s="83" t="str">
        <x:v>Medium</x:v>
      </x:c>
      <x:c r="K29" s="83" t="str">
        <x:v>Not Started</x:v>
      </x:c>
      <x:c r="L29" s="83" t="str">
        <x:v>DLQ APIs</x:v>
      </x:c>
      <x:c r="M29" s="83" t="str">
        <x:v>Failed events visible and retry action available</x:v>
      </x:c>
      <x:c r="N29" s="83" t="str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 t="str">
        <x:v>4.5.5</x:v>
      </x:c>
      <x:c r="B30" s="83" t="str">
        <x:v>Frontend</x:v>
      </x:c>
      <x:c r="C30" s="83" t="str">
        <x:v>Build Audit Export panel</x:v>
      </x:c>
      <x:c r="D30" s="83" t="str">
        <x:v>Create panel/form for audit package export by subject, correlation_id, date range, event type, classification and reason.</x:v>
      </x:c>
      <x:c r="E30" s="83" t="str">
        <x:v>Audit Export UI</x:v>
      </x:c>
      <x:c r="F30" s="83" t="str">
        <x:v>Poorvith</x:v>
      </x:c>
      <x:c r="G30" s="83" t="str">
        <x:v>Aayush</x:v>
      </x:c>
      <x:c r="H30" s="83" t="str">
        <x:v>19-Jul-2026</x:v>
      </x:c>
      <x:c r="I30" s="83" t="str">
        <x:v>20-Jul-2026</x:v>
      </x:c>
      <x:c r="J30" s="83" t="str">
        <x:v>Medium</x:v>
      </x:c>
      <x:c r="K30" s="83" t="str">
        <x:v>Not Started</x:v>
      </x:c>
      <x:c r="L30" s="83" t="str">
        <x:v>Audit export API</x:v>
      </x:c>
      <x:c r="M30" s="83" t="str">
        <x:v>Export requests can be submitted</x:v>
      </x:c>
      <x:c r="N30" s="83" t="str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 t="str">
        <x:v>4.5.6</x:v>
      </x:c>
      <x:c r="B31" s="83" t="str">
        <x:v>Frontend</x:v>
      </x:c>
      <x:c r="C31" s="83" t="str">
        <x:v>Build event dashboard widgets</x:v>
      </x:c>
      <x:c r="D31" s="83" t="str">
        <x:v>Create widgets for event volume, high-risk events, policy violations, blocked agent actions, outbox lag and DLQ count.</x:v>
      </x:c>
      <x:c r="E31" s="83" t="str">
        <x:v>Dashboard widgets</x:v>
      </x:c>
      <x:c r="F31" s="83" t="str">
        <x:v>Poorvith</x:v>
      </x:c>
      <x:c r="G31" s="83" t="str">
        <x:v>Aayush</x:v>
      </x:c>
      <x:c r="H31" s="83" t="str">
        <x:v>19-Jul-2026</x:v>
      </x:c>
      <x:c r="I31" s="83" t="str">
        <x:v>20-Jul-2026</x:v>
      </x:c>
      <x:c r="J31" s="83" t="str">
        <x:v>Medium</x:v>
      </x:c>
      <x:c r="K31" s="83" t="str">
        <x:v>Not Started</x:v>
      </x:c>
      <x:c r="L31" s="83" t="str">
        <x:v>Metrics API</x:v>
      </x:c>
      <x:c r="M31" s="83" t="str">
        <x:v>Widgets render current metrics</x:v>
      </x:c>
      <x:c r="N31" s="83" t="str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 t="str">
        <x:v>4.5.7</x:v>
      </x:c>
      <x:c r="B32" s="83" t="str">
        <x:v>Documentation</x:v>
      </x:c>
      <x:c r="C32" s="83" t="str">
        <x:v>Create API and event catalogue document</x:v>
      </x:c>
      <x:c r="D32" s="83" t="str">
        <x:v>Document event types, payload examples, APIs, request/response, errors, audit events and integration notes.</x:v>
      </x:c>
      <x:c r="E32" s="83" t="str">
        <x:v>Event API catalogue</x:v>
      </x:c>
      <x:c r="F32" s="83" t="str">
        <x:v>Aayush</x:v>
      </x:c>
      <x:c r="G32" s="83" t="str">
        <x:v>Pankaj</x:v>
      </x:c>
      <x:c r="H32" s="83" t="str">
        <x:v>19-Jul-2026</x:v>
      </x:c>
      <x:c r="I32" s="83" t="str">
        <x:v>20-Jul-2026</x:v>
      </x:c>
      <x:c r="J32" s="83" t="str">
        <x:v>High</x:v>
      </x:c>
      <x:c r="K32" s="83" t="str">
        <x:v>Not Started</x:v>
      </x:c>
      <x:c r="L32" s="83" t="str">
        <x:v>APIs complete</x:v>
      </x:c>
      <x:c r="M32" s="83" t="str">
        <x:v>Frontend and QA can test independently</x:v>
      </x:c>
      <x:c r="N32" s="83" t="str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 t="str">
        <x:v>4.6.1</x:v>
      </x:c>
      <x:c r="B33" s="83" t="str">
        <x:v>Integration</x:v>
      </x:c>
      <x:c r="C33" s="83" t="str">
        <x:v>E2E event publish flow</x:v>
      </x:c>
      <x:c r="D33" s="83" t="str">
        <x:v>Test UI/API action → event publisher → governance_events → outbox → processing log → Event Explorer.</x:v>
      </x:c>
      <x:c r="E33" s="83" t="str">
        <x:v>Integrated publish flow</x:v>
      </x:c>
      <x:c r="F33" s="83" t="str">
        <x:v>Aayush</x:v>
      </x:c>
      <x:c r="G33" s="83" t="str">
        <x:v>Pankaj, Poorvith</x:v>
      </x:c>
      <x:c r="H33" s="83" t="str">
        <x:v>20-Jul-2026</x:v>
      </x:c>
      <x:c r="I33" s="83" t="str">
        <x:v>20-Jul-2026</x:v>
      </x:c>
      <x:c r="J33" s="83" t="str">
        <x:v>Critical</x:v>
      </x:c>
      <x:c r="K33" s="83" t="str">
        <x:v>Not Started</x:v>
      </x:c>
      <x:c r="L33" s="83" t="str">
        <x:v>APIs and UI ready</x:v>
      </x:c>
      <x:c r="M33" s="83" t="str">
        <x:v>Complete publish flow passes</x:v>
      </x:c>
      <x:c r="N33" s="83" t="str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 t="str">
        <x:v>4.6.2</x:v>
      </x:c>
      <x:c r="B34" s="83" t="str">
        <x:v>Integration</x:v>
      </x:c>
      <x:c r="C34" s="83" t="str">
        <x:v>E2E audit timeline flow</x:v>
      </x:c>
      <x:c r="D34" s="83" t="str">
        <x:v>Test recommendation/workflow/agent event chain → correlation timeline → audit timeline UI → event detail drawer.</x:v>
      </x:c>
      <x:c r="E34" s="83" t="str">
        <x:v>Integrated timeline flow</x:v>
      </x:c>
      <x:c r="F34" s="83" t="str">
        <x:v>Poorvith</x:v>
      </x:c>
      <x:c r="G34" s="83" t="str">
        <x:v>Aayush, Pankaj</x:v>
      </x:c>
      <x:c r="H34" s="83" t="str">
        <x:v>20-Jul-2026</x:v>
      </x:c>
      <x:c r="I34" s="83" t="str">
        <x:v>20-Jul-2026</x:v>
      </x:c>
      <x:c r="J34" s="83" t="str">
        <x:v>Critical</x:v>
      </x:c>
      <x:c r="K34" s="83" t="str">
        <x:v>Not Started</x:v>
      </x:c>
      <x:c r="L34" s="83" t="str">
        <x:v>Timeline service/UI</x:v>
      </x:c>
      <x:c r="M34" s="83" t="str">
        <x:v>Timeline reconstructs full chain</x:v>
      </x:c>
      <x:c r="N34" s="83" t="str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 t="str">
        <x:v>4.6.3</x:v>
      </x:c>
      <x:c r="B35" s="83" t="str">
        <x:v>Integration</x:v>
      </x:c>
      <x:c r="C35" s="83" t="str">
        <x:v>E2E dead-letter/retry flow</x:v>
      </x:c>
      <x:c r="D35" s="83" t="str">
        <x:v>Force consumer failure → outbox retry → dead-letter → UI review → retry.</x:v>
      </x:c>
      <x:c r="E35" s="83" t="str">
        <x:v>Integrated DLQ flow</x:v>
      </x:c>
      <x:c r="F35" s="83" t="str">
        <x:v>Pankaj</x:v>
      </x:c>
      <x:c r="G35" s="83" t="str">
        <x:v>Poorvith, Aayush</x:v>
      </x:c>
      <x:c r="H35" s="83" t="str">
        <x:v>20-Jul-2026</x:v>
      </x:c>
      <x:c r="I35" s="83" t="str">
        <x:v>20-Jul-2026</x:v>
      </x:c>
      <x:c r="J35" s="83" t="str">
        <x:v>High</x:v>
      </x:c>
      <x:c r="K35" s="83" t="str">
        <x:v>Not Started</x:v>
      </x:c>
      <x:c r="L35" s="83" t="str">
        <x:v>Dispatcher and DLQ UI</x:v>
      </x:c>
      <x:c r="M35" s="83" t="str">
        <x:v>Failure is visible and recoverable</x:v>
      </x:c>
      <x:c r="N35" s="83" t="str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 t="str">
        <x:v>4.6.4</x:v>
      </x:c>
      <x:c r="B36" s="83" t="str">
        <x:v>QA</x:v>
      </x:c>
      <x:c r="C36" s="83" t="str">
        <x:v>Execute DB/API test pack</x:v>
      </x:c>
      <x:c r="D36" s="83" t="str">
        <x:v>Run tests for event schema, append-only behavior, search filters, correlation lookup, dead-letter records, retention/classification.</x:v>
      </x:c>
      <x:c r="E36" s="83" t="str">
        <x:v>DB/API QA results</x:v>
      </x:c>
      <x:c r="F36" s="83" t="str">
        <x:v>Pankaj</x:v>
      </x:c>
      <x:c r="G36" s="83" t="str">
        <x:v>Aayush</x:v>
      </x:c>
      <x:c r="H36" s="83" t="str">
        <x:v>20-Jul-2026</x:v>
      </x:c>
      <x:c r="I36" s="83" t="str">
        <x:v>20-Jul-2026</x:v>
      </x:c>
      <x:c r="J36" s="83" t="str">
        <x:v>Critical</x:v>
      </x:c>
      <x:c r="K36" s="83" t="str">
        <x:v>Not Started</x:v>
      </x:c>
      <x:c r="L36" s="83" t="str">
        <x:v>QA scenarios prepared</x:v>
      </x:c>
      <x:c r="M36" s="83" t="str">
        <x:v>Critical backend tests pass</x:v>
      </x:c>
      <x:c r="N36" s="83" t="str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 t="str">
        <x:v>4.6.5</x:v>
      </x:c>
      <x:c r="B37" s="83" t="str">
        <x:v>QA</x:v>
      </x:c>
      <x:c r="C37" s="83" t="str">
        <x:v>Execute UI functional tests</x:v>
      </x:c>
      <x:c r="D37" s="83" t="str">
        <x:v>Test Event Explorer, Detail Drawer, Audit Timeline, DLQ, Audit Export, dashboard widgets, loading/empty/error states.</x:v>
      </x:c>
      <x:c r="E37" s="83" t="str">
        <x:v>UI QA results</x:v>
      </x:c>
      <x:c r="F37" s="83" t="str">
        <x:v>Pankaj</x:v>
      </x:c>
      <x:c r="G37" s="83" t="str">
        <x:v>Poorvith</x:v>
      </x:c>
      <x:c r="H37" s="83" t="str">
        <x:v>20-Jul-2026</x:v>
      </x:c>
      <x:c r="I37" s="83" t="str">
        <x:v>20-Jul-2026</x:v>
      </x:c>
      <x:c r="J37" s="83" t="str">
        <x:v>High</x:v>
      </x:c>
      <x:c r="K37" s="83" t="str">
        <x:v>Not Started</x:v>
      </x:c>
      <x:c r="L37" s="83" t="str">
        <x:v>UI integrated</x:v>
      </x:c>
      <x:c r="M37" s="83" t="str">
        <x:v>Critical UI tests pass</x:v>
      </x:c>
      <x:c r="N37" s="83" t="str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 t="str">
        <x:v>4.6.6</x:v>
      </x:c>
      <x:c r="B38" s="83" t="str">
        <x:v>Documentation</x:v>
      </x:c>
      <x:c r="C38" s="83" t="str">
        <x:v>Prepare handover pack draft</x:v>
      </x:c>
      <x:c r="D38" s="83" t="str">
        <x:v>Prepare DB scripts, API catalogue, event catalogue, UI route list, test evidence and open issue log.</x:v>
      </x:c>
      <x:c r="E38" s="83" t="str">
        <x:v>Handover pack draft</x:v>
      </x:c>
      <x:c r="F38" s="83" t="str">
        <x:v>Project Manager</x:v>
      </x:c>
      <x:c r="G38" s="83" t="str">
        <x:v>All</x:v>
      </x:c>
      <x:c r="H38" s="83" t="str">
        <x:v>20-Jul-2026</x:v>
      </x:c>
      <x:c r="I38" s="83" t="str">
        <x:v>20-Jul-2026</x:v>
      </x:c>
      <x:c r="J38" s="83" t="str">
        <x:v>High</x:v>
      </x:c>
      <x:c r="K38" s="83" t="str">
        <x:v>Not Started</x:v>
      </x:c>
      <x:c r="L38" s="83" t="str">
        <x:v>Integration testing</x:v>
      </x:c>
      <x:c r="M38" s="83" t="str">
        <x:v>Draft ready for final review</x:v>
      </x:c>
      <x:c r="N38" s="83" t="str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 t="str">
        <x:v>4.7.1</x:v>
      </x:c>
      <x:c r="B39" s="83" t="str">
        <x:v>QA</x:v>
      </x:c>
      <x:c r="C39" s="83" t="str">
        <x:v>Regression and defect closure</x:v>
      </x:c>
      <x:c r="D39" s="83" t="str">
        <x:v>Fix and retest critical/high defects across DB, backend APIs, frontend, integration and security/access checks.</x:v>
      </x:c>
      <x:c r="E39" s="83" t="str">
        <x:v>Defect closure report</x:v>
      </x:c>
      <x:c r="F39" s="83" t="str">
        <x:v>Pankaj</x:v>
      </x:c>
      <x:c r="G39" s="83" t="str">
        <x:v>Aayush, Poorvith</x:v>
      </x:c>
      <x:c r="H39" s="83" t="str">
        <x:v>21-Jul-2026</x:v>
      </x:c>
      <x:c r="I39" s="83" t="str">
        <x:v>21-Jul-2026</x:v>
      </x:c>
      <x:c r="J39" s="83" t="str">
        <x:v>Critical</x:v>
      </x:c>
      <x:c r="K39" s="83" t="str">
        <x:v>Not Started</x:v>
      </x:c>
      <x:c r="L39" s="83" t="str">
        <x:v>QA results</x:v>
      </x:c>
      <x:c r="M39" s="83" t="str">
        <x:v>No open critical defects</x:v>
      </x:c>
      <x:c r="N39" s="83" t="str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 t="str">
        <x:v>4.7.2</x:v>
      </x:c>
      <x:c r="B40" s="83" t="str">
        <x:v>Security</x:v>
      </x:c>
      <x:c r="C40" s="83" t="str">
        <x:v>Verify event immutability and access control</x:v>
      </x:c>
      <x:c r="D40" s="83" t="str">
        <x:v>Verify normal application paths cannot update/delete events and event visibility respects tenant/RBAC/ABAC/classification.</x:v>
      </x:c>
      <x:c r="E40" s="83" t="str">
        <x:v>Security verification results</x:v>
      </x:c>
      <x:c r="F40" s="83" t="str">
        <x:v>Pankaj</x:v>
      </x:c>
      <x:c r="G40" s="83" t="str">
        <x:v>Aayush</x:v>
      </x:c>
      <x:c r="H40" s="83" t="str">
        <x:v>21-Jul-2026</x:v>
      </x:c>
      <x:c r="I40" s="83" t="str">
        <x:v>21-Jul-2026</x:v>
      </x:c>
      <x:c r="J40" s="83" t="str">
        <x:v>Critical</x:v>
      </x:c>
      <x:c r="K40" s="83" t="str">
        <x:v>Not Started</x:v>
      </x:c>
      <x:c r="L40" s="83" t="str">
        <x:v>Event APIs</x:v>
      </x:c>
      <x:c r="M40" s="83" t="str">
        <x:v>Append-only and scoped access confirmed</x:v>
      </x:c>
      <x:c r="N40" s="83" t="str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 t="str">
        <x:v>4.7.3</x:v>
      </x:c>
      <x:c r="B41" s="83" t="str">
        <x:v>Project Management</x:v>
      </x:c>
      <x:c r="C41" s="83" t="str">
        <x:v>Final UAT walkthrough</x:v>
      </x:c>
      <x:c r="D41" s="83" t="str">
        <x:v>Walk through event architecture, event store, publisher, UI screens, timeline, DLQ, export and QA evidence.</x:v>
      </x:c>
      <x:c r="E41" s="83" t="str">
        <x:v>UAT walkthrough notes</x:v>
      </x:c>
      <x:c r="F41" s="83" t="str">
        <x:v>Project Manager</x:v>
      </x:c>
      <x:c r="G41" s="83" t="str">
        <x:v>All</x:v>
      </x:c>
      <x:c r="H41" s="83" t="str">
        <x:v>21-Jul-2026</x:v>
      </x:c>
      <x:c r="I41" s="83" t="str">
        <x:v>21-Jul-2026</x:v>
      </x:c>
      <x:c r="J41" s="83" t="str">
        <x:v>Critical</x:v>
      </x:c>
      <x:c r="K41" s="83" t="str">
        <x:v>Not Started</x:v>
      </x:c>
      <x:c r="L41" s="83" t="str">
        <x:v>Regression complete</x:v>
      </x:c>
      <x:c r="M41" s="83" t="str">
        <x:v>Phase 4 accepted by stakeholders</x:v>
      </x:c>
      <x:c r="N41" s="83" t="str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 t="str">
        <x:v>4.7.4</x:v>
      </x:c>
      <x:c r="B42" s="83" t="str">
        <x:v>Documentation</x:v>
      </x:c>
      <x:c r="C42" s="83" t="str">
        <x:v>Finalize handover package</x:v>
      </x:c>
      <x:c r="D42" s="83" t="str">
        <x:v>Finalize implementation notes, scripts, API/event catalogue, route list, QA evidence, known issues and next backlog.</x:v>
      </x:c>
      <x:c r="E42" s="83" t="str">
        <x:v>Final handover package</x:v>
      </x:c>
      <x:c r="F42" s="83" t="str">
        <x:v>Project Manager</x:v>
      </x:c>
      <x:c r="G42" s="83" t="str">
        <x:v>All</x:v>
      </x:c>
      <x:c r="H42" s="83" t="str">
        <x:v>21-Jul-2026</x:v>
      </x:c>
      <x:c r="I42" s="83" t="str">
        <x:v>21-Jul-2026</x:v>
      </x:c>
      <x:c r="J42" s="83" t="str">
        <x:v>Critical</x:v>
      </x:c>
      <x:c r="K42" s="83" t="str">
        <x:v>Not Started</x:v>
      </x:c>
      <x:c r="L42" s="83" t="str">
        <x:v>UAT walkthrough</x:v>
      </x:c>
      <x:c r="M42" s="83" t="str">
        <x:v>Developers can continue without open dependency</x:v>
      </x:c>
      <x:c r="N42" s="83" t="str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 t="str">
        <x:v>4.7.5</x:v>
      </x:c>
      <x:c r="B43" s="83" t="str">
        <x:v>Delivery</x:v>
      </x:c>
      <x:c r="C43" s="83" t="str">
        <x:v>Create release candidate and next backlog</x:v>
      </x:c>
      <x:c r="D43" s="83" t="str">
        <x:v>Package code branch, migrations, docs and create next backlog for evidence lineage, advanced replay, archival and analytics.</x:v>
      </x:c>
      <x:c r="E43" s="83" t="str">
        <x:v>Release candidate and backlog</x:v>
      </x:c>
      <x:c r="F43" s="83" t="str">
        <x:v>Aayush</x:v>
      </x:c>
      <x:c r="G43" s="83" t="str">
        <x:v>PM, Pankaj, Poorvith</x:v>
      </x:c>
      <x:c r="H43" s="83" t="str">
        <x:v>21-Jul-2026</x:v>
      </x:c>
      <x:c r="I43" s="83" t="str">
        <x:v>21-Jul-2026</x:v>
      </x:c>
      <x:c r="J43" s="83" t="str">
        <x:v>High</x:v>
      </x:c>
      <x:c r="K43" s="83" t="str">
        <x:v>Not Started</x:v>
      </x:c>
      <x:c r="L43" s="83" t="str">
        <x:v>Final handover</x:v>
      </x:c>
      <x:c r="M43" s="83" t="str">
        <x:v>Release candidate ready and next sprint prioritized</x:v>
      </x:c>
      <x:c r="N43" s="83" t="str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conditionalFormatting sqref="K2:K200">
    <x:cfRule type="expression" dxfId="0" priority="1">
      <x:formula>$K2="Completed"</x:formula>
    </x:cfRule>
    <x:cfRule type="expression" dxfId="1" priority="2">
      <x:formula>$K2="Blocked"</x:formula>
    </x:cfRule>
    <x:cfRule type="expression" dxfId="2" priority="3">
      <x:formula>$K2="At Risk"</x:formula>
    </x:cfRule>
  </x:conditionalFormatting>
  <x:conditionalFormatting sqref="J2:J200">
    <x:cfRule type="expression" dxfId="3" priority="4">
      <x:formula>$J2="Critical"</x:formula>
    </x:cfRule>
    <x:cfRule type="expression" dxfId="4" priority="5">
      <x:formula>$J2="High"</x:formula>
    </x:cfRule>
  </x:conditionalFormatting>
  <x:dataValidations count="4">
    <x:dataValidation type="list" sqref="B2:B200">
      <x:formula1>Lists!$D$2:$D$10</x:formula1>
    </x:dataValidation>
    <x:dataValidation type="list" sqref="F2:F200">
      <x:formula1>Lists!$C$2:$C$7</x:formula1>
    </x:dataValidation>
    <x:dataValidation type="list" sqref="J2:J200">
      <x:formula1>Lists!$B$2:$B$5</x:formula1>
    </x:dataValidation>
    <x:dataValidation type="list" sqref="K2:K2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46e60d5be345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30" hidden="0" customWidth="1"/>
    <x:col min="6" max="6" width="40" hidden="0" customWidth="1"/>
    <x:col min="7" max="7" width="36" hidden="0" customWidth="1"/>
  </x:cols>
  <x:sheetData>
    <x:row r="1">
      <x:c r="A1" s="85" t="str">
        <x:v>Day</x:v>
      </x:c>
      <x:c r="B1" s="85" t="str">
        <x:v>Date</x:v>
      </x:c>
      <x:c r="C1" s="85" t="str">
        <x:v>Primary Focus</x:v>
      </x:c>
      <x:c r="D1" s="85" t="str">
        <x:v>Key Activities</x:v>
      </x:c>
      <x:c r="E1" s="85" t="str">
        <x:v>Owners</x:v>
      </x:c>
      <x:c r="F1" s="85" t="str">
        <x:v>Expected End-of-Day Output</x:v>
      </x:c>
      <x:c r="G1" s="85" t="str">
        <x:v>PM Checkpoint</x:v>
      </x:c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Day 1</x:v>
      </x:c>
      <x:c r="B2" s="83" t="str">
        <x:v>15-Jul-2026</x:v>
      </x:c>
      <x:c r="C2" s="83" t="str">
        <x:v>Scope and event architecture lock</x:v>
      </x:c>
      <x:c r="D2" s="83" t="str">
        <x:v>Kickoff, event taxonomy MVP, canonical envelope, DB dependency review, UI scope lock</x:v>
      </x:c>
      <x:c r="E2" s="83" t="str">
        <x:v>PM, Aayush, Pankaj, Poorvith</x:v>
      </x:c>
      <x:c r="F2" s="83" t="str">
        <x:v>Event architecture and sprint scope finalized</x:v>
      </x:c>
      <x:c r="G2" s="83" t="str">
        <x:v>Confirm no open questions on event envelope</x:v>
      </x:c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Day 2</x:v>
      </x:c>
      <x:c r="B3" s="83" t="str">
        <x:v>16-Jul-2026</x:v>
      </x:c>
      <x:c r="C3" s="83" t="str">
        <x:v>Event store foundation</x:v>
      </x:c>
      <x:c r="D3" s="83" t="str">
        <x:v>Physical model, migrations, indexes, seed data, backend module shell, frontend route shells</x:v>
      </x:c>
      <x:c r="E3" s="83" t="str">
        <x:v>Aayush, Pankaj, Poorvith</x:v>
      </x:c>
      <x:c r="F3" s="83" t="str">
        <x:v>DB and route foundation ready</x:v>
      </x:c>
      <x:c r="G3" s="83" t="str">
        <x:v>Confirm scripts run and route shells load</x:v>
      </x:c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Day 3</x:v>
      </x:c>
      <x:c r="B4" s="83" t="str">
        <x:v>17-Jul-2026</x:v>
      </x:c>
      <x:c r="C4" s="83" t="str">
        <x:v>Publisher and core APIs</x:v>
      </x:c>
      <x:c r="D4" s="83" t="str">
        <x:v>Schemas, repository, publisher service, validation, event APIs, Event Explorer start</x:v>
      </x:c>
      <x:c r="E4" s="83" t="str">
        <x:v>Pankaj, Aayush, Poorvith</x:v>
      </x:c>
      <x:c r="F4" s="83" t="str">
        <x:v>Events can be published and searched</x:v>
      </x:c>
      <x:c r="G4" s="83" t="str">
        <x:v>Review APIs with frontend and QA</x:v>
      </x:c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Day 4</x:v>
      </x:c>
      <x:c r="B5" s="83" t="str">
        <x:v>18-Jul-2026</x:v>
      </x:c>
      <x:c r="C5" s="83" t="str">
        <x:v>Dispatcher and timeline</x:v>
      </x:c>
      <x:c r="D5" s="83" t="str">
        <x:v>Outbox dispatcher, processing logs, DLQ APIs, audit timeline service, event detail and timeline UI</x:v>
      </x:c>
      <x:c r="E5" s="83" t="str">
        <x:v>Pankaj, Poorvith, Aayush</x:v>
      </x:c>
      <x:c r="F5" s="83" t="str">
        <x:v>Timeline and dispatcher capabilities usable</x:v>
      </x:c>
      <x:c r="G5" s="83" t="str">
        <x:v>Confirm correlation timeline works</x:v>
      </x:c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Day 5</x:v>
      </x:c>
      <x:c r="B6" s="83" t="str">
        <x:v>19-Jul-2026</x:v>
      </x:c>
      <x:c r="C6" s="83" t="str">
        <x:v>Controls and UI completion</x:v>
      </x:c>
      <x:c r="D6" s="83" t="str">
        <x:v>Audit export, retention/classification, metrics API, DLQ UI, export panel, dashboard widgets, event catalogue</x:v>
      </x:c>
      <x:c r="E6" s="83" t="str">
        <x:v>Aayush, Pankaj, Poorvith</x:v>
      </x:c>
      <x:c r="F6" s="83" t="str">
        <x:v>Feature-complete MVP</x:v>
      </x:c>
      <x:c r="G6" s="83" t="str">
        <x:v>Review open defects before integration day</x:v>
      </x:c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Day 6</x:v>
      </x:c>
      <x:c r="B7" s="83" t="str">
        <x:v>20-Jul-2026</x:v>
      </x:c>
      <x:c r="C7" s="83" t="str">
        <x:v>Integration and QA</x:v>
      </x:c>
      <x:c r="D7" s="83" t="str">
        <x:v>E2E publish flow, timeline flow, DLQ flow, DB/API QA, UI QA, handover draft</x:v>
      </x:c>
      <x:c r="E7" s="83" t="str">
        <x:v>All</x:v>
      </x:c>
      <x:c r="F7" s="83" t="str">
        <x:v>Integrated working Phase 4 build</x:v>
      </x:c>
      <x:c r="G7" s="83" t="str">
        <x:v>Escalate critical/high defects only</x:v>
      </x:c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Day 7</x:v>
      </x:c>
      <x:c r="B8" s="83" t="str">
        <x:v>21-Jul-2026</x:v>
      </x:c>
      <x:c r="C8" s="83" t="str">
        <x:v>Stabilization and handover</x:v>
      </x:c>
      <x:c r="D8" s="83" t="str">
        <x:v>Regression, immutability/access verification, UAT walkthrough, final handover, release candidate</x:v>
      </x:c>
      <x:c r="E8" s="83" t="str">
        <x:v>All</x:v>
      </x:c>
      <x:c r="F8" s="83" t="str">
        <x:v>Phase 4 accepted and handed over</x:v>
      </x:c>
      <x:c r="G8" s="83" t="str">
        <x:v>Final sign-off and next backlog</x:v>
      </x:c>
      <x:c r="H8" s="83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pageMargins left="0.7" right="0.7" top="0.75" bottom="0.75" header="0.3" footer="0.3"/>
  <x:tableParts count="1">
    <x:tablePart xmlns:r="http://schemas.openxmlformats.org/officeDocument/2006/relationships" r:id="R1b5ec72ecb0446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0" hidden="0" customWidth="1"/>
    <x:col min="4" max="4" width="18" hidden="0" customWidth="1"/>
    <x:col min="5" max="5" width="24" hidden="0" customWidth="1"/>
    <x:col min="6" max="6" width="14" hidden="0" customWidth="1"/>
    <x:col min="7" max="7" width="44" hidden="0" customWidth="1"/>
    <x:col min="8" max="8" width="16" hidden="0" customWidth="1"/>
  </x:cols>
  <x:sheetData>
    <x:row r="1">
      <x:c r="A1" s="85" t="str">
        <x:v>ID</x:v>
      </x:c>
      <x:c r="B1" s="85" t="str">
        <x:v>Deliverable</x:v>
      </x:c>
      <x:c r="C1" s="85" t="str">
        <x:v>Description</x:v>
      </x:c>
      <x:c r="D1" s="85" t="str">
        <x:v>Owner</x:v>
      </x:c>
      <x:c r="E1" s="85" t="str">
        <x:v>Support</x:v>
      </x:c>
      <x:c r="F1" s="85" t="str">
        <x:v>Due Date</x:v>
      </x:c>
      <x:c r="G1" s="85" t="str">
        <x:v>Acceptance Criteria</x:v>
      </x:c>
      <x:c r="H1" s="85" t="str">
        <x:v>Status</x:v>
      </x:c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D4-01</x:v>
      </x:c>
      <x:c r="B2" s="83" t="str">
        <x:v>Phase 4 Sprint Scope</x:v>
      </x:c>
      <x:c r="C2" s="83" t="str">
        <x:v>Approved scope, sprint tracker and daily cadence for event architecture implementation.</x:v>
      </x:c>
      <x:c r="D2" s="83" t="str">
        <x:v>Project Manager</x:v>
      </x:c>
      <x:c r="E2" s="83" t="str">
        <x:v>All</x:v>
      </x:c>
      <x:c r="F2" s="83" t="str">
        <x:v>15-Jul-2026</x:v>
      </x:c>
      <x:c r="G2" s="83" t="str">
        <x:v>Scope signed off; team aligned</x:v>
      </x:c>
      <x:c r="H2" s="83" t="str">
        <x:v>Not Started</x:v>
      </x:c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D4-02</x:v>
      </x:c>
      <x:c r="B3" s="83" t="str">
        <x:v>Event Taxonomy and Envelope</x:v>
      </x:c>
      <x:c r="C3" s="83" t="str">
        <x:v>MVP event catalogue and canonical governance event envelope.</x:v>
      </x:c>
      <x:c r="D3" s="83" t="str">
        <x:v>Pankaj</x:v>
      </x:c>
      <x:c r="E3" s="83" t="str">
        <x:v>Aayush</x:v>
      </x:c>
      <x:c r="F3" s="83" t="str">
        <x:v>15-Jul-2026</x:v>
      </x:c>
      <x:c r="G3" s="83" t="str">
        <x:v>Required fields and event types approved</x:v>
      </x:c>
      <x:c r="H3" s="83" t="str">
        <x:v>Not Started</x:v>
      </x:c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D4-03</x:v>
      </x:c>
      <x:c r="B4" s="83" t="str">
        <x:v>Event Store Physical Schema</x:v>
      </x:c>
      <x:c r="C4" s="83" t="str">
        <x:v>governance_events, outbox, processing log, dead-letter, schema registry, retention and export log tables.</x:v>
      </x:c>
      <x:c r="D4" s="83" t="str">
        <x:v>Aayush</x:v>
      </x:c>
      <x:c r="E4" s="83" t="str">
        <x:v>Pankaj</x:v>
      </x:c>
      <x:c r="F4" s="83" t="str">
        <x:v>17-Jul-2026</x:v>
      </x:c>
      <x:c r="G4" s="83" t="str">
        <x:v>Migration scripts run cleanly</x:v>
      </x:c>
      <x:c r="H4" s="83" t="str">
        <x:v>Not Started</x:v>
      </x:c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D4-04</x:v>
      </x:c>
      <x:c r="B5" s="83" t="str">
        <x:v>Event Publisher and APIs</x:v>
      </x:c>
      <x:c r="C5" s="83" t="str">
        <x:v>Publisher service, validation, event repository and event query APIs.</x:v>
      </x:c>
      <x:c r="D5" s="83" t="str">
        <x:v>Pankaj</x:v>
      </x:c>
      <x:c r="E5" s="83" t="str">
        <x:v>Aayush</x:v>
      </x:c>
      <x:c r="F5" s="83" t="str">
        <x:v>18-Jul-2026</x:v>
      </x:c>
      <x:c r="G5" s="83" t="str">
        <x:v>Events publish, validate and query successfully</x:v>
      </x:c>
      <x:c r="H5" s="83" t="str">
        <x:v>Not Started</x:v>
      </x:c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D4-05</x:v>
      </x:c>
      <x:c r="B6" s="83" t="str">
        <x:v>Outbox and Timeline Services</x:v>
      </x:c>
      <x:c r="C6" s="83" t="str">
        <x:v>Dispatcher, processing log, DLQ handling and audit timeline service.</x:v>
      </x:c>
      <x:c r="D6" s="83" t="str">
        <x:v>Pankaj</x:v>
      </x:c>
      <x:c r="E6" s="83" t="str">
        <x:v>Aayush</x:v>
      </x:c>
      <x:c r="F6" s="83" t="str">
        <x:v>19-Jul-2026</x:v>
      </x:c>
      <x:c r="G6" s="83" t="str">
        <x:v>Timeline reconstructs correlated lifecycle</x:v>
      </x:c>
      <x:c r="H6" s="83" t="str">
        <x:v>Not Started</x:v>
      </x:c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D4-06</x:v>
      </x:c>
      <x:c r="B7" s="83" t="str">
        <x:v>Frontend Event UI</x:v>
      </x:c>
      <x:c r="C7" s="83" t="str">
        <x:v>Event Explorer, Event Detail Drawer, Audit Timeline, DLQ View, Export Panel and dashboard widgets.</x:v>
      </x:c>
      <x:c r="D7" s="83" t="str">
        <x:v>Poorvith</x:v>
      </x:c>
      <x:c r="E7" s="83" t="str">
        <x:v>Aayush, Pankaj</x:v>
      </x:c>
      <x:c r="F7" s="83" t="str">
        <x:v>20-Jul-2026</x:v>
      </x:c>
      <x:c r="G7" s="83" t="str">
        <x:v>Screens integrated with APIs</x:v>
      </x:c>
      <x:c r="H7" s="83" t="str">
        <x:v>Not Started</x:v>
      </x:c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D4-07</x:v>
      </x:c>
      <x:c r="B8" s="83" t="str">
        <x:v>API and Event Catalogue</x:v>
      </x:c>
      <x:c r="C8" s="83" t="str">
        <x:v>Documented APIs, event types, payload examples, errors and integration notes.</x:v>
      </x:c>
      <x:c r="D8" s="83" t="str">
        <x:v>Aayush</x:v>
      </x:c>
      <x:c r="E8" s="83" t="str">
        <x:v>Pankaj</x:v>
      </x:c>
      <x:c r="F8" s="83" t="str">
        <x:v>20-Jul-2026</x:v>
      </x:c>
      <x:c r="G8" s="83" t="str">
        <x:v>Developer-ready catalogue complete</x:v>
      </x:c>
      <x:c r="H8" s="83" t="str">
        <x:v>Not Started</x:v>
      </x:c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D4-08</x:v>
      </x:c>
      <x:c r="B9" s="83" t="str">
        <x:v>QA Evidence Pack</x:v>
      </x:c>
      <x:c r="C9" s="83" t="str">
        <x:v>DB/API/UI/security/integration test results and defect closure report.</x:v>
      </x:c>
      <x:c r="D9" s="83" t="str">
        <x:v>Pankaj</x:v>
      </x:c>
      <x:c r="E9" s="83" t="str">
        <x:v>All</x:v>
      </x:c>
      <x:c r="F9" s="83" t="str">
        <x:v>21-Jul-2026</x:v>
      </x:c>
      <x:c r="G9" s="83" t="str">
        <x:v>No open critical defects</x:v>
      </x:c>
      <x:c r="H9" s="83" t="str">
        <x:v>Not Started</x:v>
      </x:c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 t="str">
        <x:v>D4-09</x:v>
      </x:c>
      <x:c r="B10" s="83" t="str">
        <x:v>Final Handover and Release Candidate</x:v>
      </x:c>
      <x:c r="C10" s="83" t="str">
        <x:v>Scripts, code branch, UI route list, API docs, event catalogue, QA results and next backlog.</x:v>
      </x:c>
      <x:c r="D10" s="83" t="str">
        <x:v>Project Manager</x:v>
      </x:c>
      <x:c r="E10" s="83" t="str">
        <x:v>All</x:v>
      </x:c>
      <x:c r="F10" s="83" t="str">
        <x:v>21-Jul-2026</x:v>
      </x:c>
      <x:c r="G10" s="83" t="str">
        <x:v>Phase 4 handover complete</x:v>
      </x:c>
      <x:c r="H10" s="83" t="str">
        <x:v>Not Started</x:v>
      </x:c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dataValidations count="1">
    <x:dataValidation type="list" sqref="H2:H1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d9b339b50a4b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45" hidden="0" customWidth="1"/>
  </x:cols>
  <x:sheetData>
    <x:row r="1">
      <x:c r="A1" s="92" t="str">
        <x:v>Deliverable / Activity</x:v>
      </x:c>
      <x:c r="B1" s="92" t="str">
        <x:v>Project Manager</x:v>
      </x:c>
      <x:c r="C1" s="92" t="str">
        <x:v>Aayush</x:v>
      </x:c>
      <x:c r="D1" s="92" t="str">
        <x:v>Pankaj</x:v>
      </x:c>
      <x:c r="E1" s="92" t="str">
        <x:v>Poorvith</x:v>
      </x:c>
      <x:c r="F1" s="92" t="str">
        <x:v>Notes</x:v>
      </x:c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Sprint governance and scope control</x:v>
      </x:c>
      <x:c r="B2" s="83" t="str">
        <x:v>A/R</x:v>
      </x:c>
      <x:c r="C2" s="83" t="str">
        <x:v>C</x:v>
      </x:c>
      <x:c r="D2" s="83" t="str">
        <x:v>C</x:v>
      </x:c>
      <x:c r="E2" s="83" t="str">
        <x:v>C</x:v>
      </x:c>
      <x:c r="F2" s="83" t="str">
        <x:v>PM owns delivery cadence and sign-off</x:v>
      </x:c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Event taxonomy and canonical envelope</x:v>
      </x:c>
      <x:c r="B3" s="83" t="str">
        <x:v>C</x:v>
      </x:c>
      <x:c r="C3" s="83" t="str">
        <x:v>C</x:v>
      </x:c>
      <x:c r="D3" s="83" t="str">
        <x:v>A/R</x:v>
      </x:c>
      <x:c r="E3" s="83" t="str">
        <x:v>I</x:v>
      </x:c>
      <x:c r="F3" s="83" t="str">
        <x:v>Pankaj owns event service correctness</x:v>
      </x:c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PostgreSQL event store schema</x:v>
      </x:c>
      <x:c r="B4" s="83" t="str">
        <x:v>I</x:v>
      </x:c>
      <x:c r="C4" s="83" t="str">
        <x:v>A/R</x:v>
      </x:c>
      <x:c r="D4" s="83" t="str">
        <x:v>C</x:v>
      </x:c>
      <x:c r="E4" s="83" t="str">
        <x:v>I</x:v>
      </x:c>
      <x:c r="F4" s="83" t="str">
        <x:v>Aayush owns physical data model and migrations</x:v>
      </x:c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Event repository and publisher service</x:v>
      </x:c>
      <x:c r="B5" s="83" t="str">
        <x:v>I</x:v>
      </x:c>
      <x:c r="C5" s="83" t="str">
        <x:v>C</x:v>
      </x:c>
      <x:c r="D5" s="83" t="str">
        <x:v>A/R</x:v>
      </x:c>
      <x:c r="E5" s="83" t="str">
        <x:v>I</x:v>
      </x:c>
      <x:c r="F5" s="83" t="str">
        <x:v>Pankaj owns backend service implementation</x:v>
      </x:c>
      <x:c r="G5" s="83"/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Outbox dispatcher and DLQ</x:v>
      </x:c>
      <x:c r="B6" s="83" t="str">
        <x:v>I</x:v>
      </x:c>
      <x:c r="C6" s="83" t="str">
        <x:v>C</x:v>
      </x:c>
      <x:c r="D6" s="83" t="str">
        <x:v>A/R</x:v>
      </x:c>
      <x:c r="E6" s="83" t="str">
        <x:v>I</x:v>
      </x:c>
      <x:c r="F6" s="83" t="str">
        <x:v>Reliability layer for event processing</x:v>
      </x:c>
      <x:c r="G6" s="83"/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Existing module producer integrations</x:v>
      </x:c>
      <x:c r="B7" s="83" t="str">
        <x:v>I</x:v>
      </x:c>
      <x:c r="C7" s="83" t="str">
        <x:v>A/R</x:v>
      </x:c>
      <x:c r="D7" s="83" t="str">
        <x:v>R</x:v>
      </x:c>
      <x:c r="E7" s="83" t="str">
        <x:v>I</x:v>
      </x:c>
      <x:c r="F7" s="83" t="str">
        <x:v>Aayush coordinates integration with existing backend</x:v>
      </x:c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Event Explorer UI</x:v>
      </x:c>
      <x:c r="B8" s="83" t="str">
        <x:v>I</x:v>
      </x:c>
      <x:c r="C8" s="83" t="str">
        <x:v>C</x:v>
      </x:c>
      <x:c r="D8" s="83" t="str">
        <x:v>C</x:v>
      </x:c>
      <x:c r="E8" s="83" t="str">
        <x:v>A/R</x:v>
      </x:c>
      <x:c r="F8" s="83" t="str">
        <x:v>Poorvith owns UI</x:v>
      </x:c>
      <x:c r="G8" s="83"/>
      <x:c r="H8" s="83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Audit Timeline UI</x:v>
      </x:c>
      <x:c r="B9" s="83" t="str">
        <x:v>I</x:v>
      </x:c>
      <x:c r="C9" s="83" t="str">
        <x:v>C</x:v>
      </x:c>
      <x:c r="D9" s="83" t="str">
        <x:v>C</x:v>
      </x:c>
      <x:c r="E9" s="83" t="str">
        <x:v>A/R</x:v>
      </x:c>
      <x:c r="F9" s="83" t="str">
        <x:v>Poorvith owns UI, Pankaj validates event data</x:v>
      </x:c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 t="str">
        <x:v>Dead Letter Queue UI</x:v>
      </x:c>
      <x:c r="B10" s="83" t="str">
        <x:v>I</x:v>
      </x:c>
      <x:c r="C10" s="83" t="str">
        <x:v>C</x:v>
      </x:c>
      <x:c r="D10" s="83" t="str">
        <x:v>C</x:v>
      </x:c>
      <x:c r="E10" s="83" t="str">
        <x:v>A/R</x:v>
      </x:c>
      <x:c r="F10" s="83" t="str">
        <x:v>Poorvith builds, Pankaj validates backend</x:v>
      </x:c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 t="str">
        <x:v>API and Event Catalogue</x:v>
      </x:c>
      <x:c r="B11" s="83" t="str">
        <x:v>I</x:v>
      </x:c>
      <x:c r="C11" s="83" t="str">
        <x:v>A/R</x:v>
      </x:c>
      <x:c r="D11" s="83" t="str">
        <x:v>C</x:v>
      </x:c>
      <x:c r="E11" s="83" t="str">
        <x:v>C</x:v>
      </x:c>
      <x:c r="F11" s="83" t="str">
        <x:v>Used by frontend and QA</x:v>
      </x:c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 t="str">
        <x:v>QA test execution and evidence</x:v>
      </x:c>
      <x:c r="B12" s="83" t="str">
        <x:v>A</x:v>
      </x:c>
      <x:c r="C12" s="83" t="str">
        <x:v>C</x:v>
      </x:c>
      <x:c r="D12" s="83" t="str">
        <x:v>R</x:v>
      </x:c>
      <x:c r="E12" s="83" t="str">
        <x:v>C</x:v>
      </x:c>
      <x:c r="F12" s="83" t="str">
        <x:v>Pankaj owns QA completion</x:v>
      </x:c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 t="str">
        <x:v>UAT walkthrough and final handover</x:v>
      </x:c>
      <x:c r="B13" s="83" t="str">
        <x:v>A/R</x:v>
      </x:c>
      <x:c r="C13" s="83" t="str">
        <x:v>C</x:v>
      </x:c>
      <x:c r="D13" s="83" t="str">
        <x:v>C</x:v>
      </x:c>
      <x:c r="E13" s="83" t="str">
        <x:v>C</x:v>
      </x:c>
      <x:c r="F13" s="83" t="str">
        <x:v>PM owns closure</x:v>
      </x:c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pageMargins left="0.7" right="0.7" top="0.75" bottom="0.75" header="0.3" footer="0.3"/>
  <x:tableParts count="1">
    <x:tablePart xmlns:r="http://schemas.openxmlformats.org/officeDocument/2006/relationships" r:id="Rb8a59acf05014e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34" hidden="0" customWidth="1"/>
    <x:col min="4" max="4" width="18" hidden="0" customWidth="1"/>
    <x:col min="5" max="5" width="14" hidden="0" customWidth="1"/>
    <x:col min="6" max="6" width="36" hidden="0" customWidth="1"/>
    <x:col min="7" max="7" width="42" hidden="0" customWidth="1"/>
    <x:col min="8" max="8" width="14" hidden="0" customWidth="1"/>
  </x:cols>
  <x:sheetData>
    <x:row r="1">
      <x:c r="A1" s="94" t="str">
        <x:v>ID</x:v>
      </x:c>
      <x:c r="B1" s="94" t="str">
        <x:v>Dependency</x:v>
      </x:c>
      <x:c r="C1" s="94" t="str">
        <x:v>Required By</x:v>
      </x:c>
      <x:c r="D1" s="94" t="str">
        <x:v>Owner</x:v>
      </x:c>
      <x:c r="E1" s="94" t="str">
        <x:v>Due Date</x:v>
      </x:c>
      <x:c r="F1" s="94" t="str">
        <x:v>Risk if Missing</x:v>
      </x:c>
      <x:c r="G1" s="94" t="str">
        <x:v>Mitigation</x:v>
      </x:c>
      <x:c r="H1" s="94" t="str">
        <x:v>Status</x:v>
      </x:c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DEP-01</x:v>
      </x:c>
      <x:c r="B2" s="83" t="str">
        <x:v>Existing Phase 0-3 DB schema access</x:v>
      </x:c>
      <x:c r="C2" s="83" t="str">
        <x:v>DB design and integrations</x:v>
      </x:c>
      <x:c r="D2" s="83" t="str">
        <x:v>Aayush</x:v>
      </x:c>
      <x:c r="E2" s="83" t="str">
        <x:v>15-Jul-2026</x:v>
      </x:c>
      <x:c r="F2" s="83" t="str">
        <x:v>Duplicate/misaligned tables</x:v>
      </x:c>
      <x:c r="G2" s="83" t="str">
        <x:v>Review DB first before DDL</x:v>
      </x:c>
      <x:c r="H2" s="83" t="str">
        <x:v>Open</x:v>
      </x:c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DEP-02</x:v>
      </x:c>
      <x:c r="B3" s="83" t="str">
        <x:v>Actor/context and auth mechanism</x:v>
      </x:c>
      <x:c r="C3" s="83" t="str">
        <x:v>Event publisher actor enrichment</x:v>
      </x:c>
      <x:c r="D3" s="83" t="str">
        <x:v>Pankaj</x:v>
      </x:c>
      <x:c r="E3" s="83" t="str">
        <x:v>17-Jul-2026</x:v>
      </x:c>
      <x:c r="F3" s="83" t="str">
        <x:v>Events miss accountability</x:v>
      </x:c>
      <x:c r="G3" s="83" t="str">
        <x:v>Use current auth context wrapper</x:v>
      </x:c>
      <x:c r="H3" s="83" t="str">
        <x:v>Open</x:v>
      </x:c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DEP-03</x:v>
      </x:c>
      <x:c r="B4" s="83" t="str">
        <x:v>Existing audit/notification patterns</x:v>
      </x:c>
      <x:c r="C4" s="83" t="str">
        <x:v>Audit timeline and downstream consumers</x:v>
      </x:c>
      <x:c r="D4" s="83" t="str">
        <x:v>Pankaj</x:v>
      </x:c>
      <x:c r="E4" s="83" t="str">
        <x:v>18-Jul-2026</x:v>
      </x:c>
      <x:c r="F4" s="83" t="str">
        <x:v>Duplicate audit logic</x:v>
      </x:c>
      <x:c r="G4" s="83" t="str">
        <x:v>Integrate where available; otherwise stub cleanly</x:v>
      </x:c>
      <x:c r="H4" s="83" t="str">
        <x:v>Open</x:v>
      </x:c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DEP-04</x:v>
      </x:c>
      <x:c r="B5" s="83" t="str">
        <x:v>Frontend API contract</x:v>
      </x:c>
      <x:c r="C5" s="83" t="str">
        <x:v>UI implementation</x:v>
      </x:c>
      <x:c r="D5" s="83" t="str">
        <x:v>Aayush</x:v>
      </x:c>
      <x:c r="E5" s="83" t="str">
        <x:v>17-Jul-2026</x:v>
      </x:c>
      <x:c r="F5" s="83" t="str">
        <x:v>Poorvith blocked</x:v>
      </x:c>
      <x:c r="G5" s="83" t="str">
        <x:v>Mock contract by Day 3</x:v>
      </x:c>
      <x:c r="H5" s="83" t="str">
        <x:v>Open</x:v>
      </x:c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DEP-05</x:v>
      </x:c>
      <x:c r="B6" s="83" t="str">
        <x:v>Event reference data</x:v>
      </x:c>
      <x:c r="C6" s="83" t="str">
        <x:v>APIs and UI filters</x:v>
      </x:c>
      <x:c r="D6" s="83" t="str">
        <x:v>Aayush</x:v>
      </x:c>
      <x:c r="E6" s="83" t="str">
        <x:v>17-Jul-2026</x:v>
      </x:c>
      <x:c r="F6" s="83" t="str">
        <x:v>Inconsistent event names</x:v>
      </x:c>
      <x:c r="G6" s="83" t="str">
        <x:v>Seed event master tables</x:v>
      </x:c>
      <x:c r="H6" s="83" t="str">
        <x:v>Open</x:v>
      </x:c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DEP-06</x:v>
      </x:c>
      <x:c r="B7" s="83" t="str">
        <x:v>Test environment DB</x:v>
      </x:c>
      <x:c r="C7" s="83" t="str">
        <x:v>QA and integration</x:v>
      </x:c>
      <x:c r="D7" s="83" t="str">
        <x:v>Project Manager</x:v>
      </x:c>
      <x:c r="E7" s="83" t="str">
        <x:v>16-Jul-2026</x:v>
      </x:c>
      <x:c r="F7" s="83" t="str">
        <x:v>Testing delayed</x:v>
      </x:c>
      <x:c r="G7" s="83" t="str">
        <x:v>Confirm dev/test environment on Day 1</x:v>
      </x:c>
      <x:c r="H7" s="83" t="str">
        <x:v>Open</x:v>
      </x:c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DEP-07</x:v>
      </x:c>
      <x:c r="B8" s="83" t="str">
        <x:v>Phase 4 implementation spec</x:v>
      </x:c>
      <x:c r="C8" s="83" t="str">
        <x:v>Team reference</x:v>
      </x:c>
      <x:c r="D8" s="83" t="str">
        <x:v>Project Manager</x:v>
      </x:c>
      <x:c r="E8" s="83" t="str">
        <x:v>15-Jul-2026</x:v>
      </x:c>
      <x:c r="F8" s="83" t="str">
        <x:v>Scope confusion</x:v>
      </x:c>
      <x:c r="G8" s="83" t="str">
        <x:v>Use as sprint base</x:v>
      </x:c>
      <x:c r="H8" s="83" t="str">
        <x:v>Open</x:v>
      </x:c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pageMargins left="0.7" right="0.7" top="0.75" bottom="0.75" header="0.3" footer="0.3"/>
  <x:tableParts count="1">
    <x:tablePart xmlns:r="http://schemas.openxmlformats.org/officeDocument/2006/relationships" r:id="Rd9f4a2f5ccc244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0" hidden="0" customWidth="1"/>
    <x:col min="4" max="4" width="14" hidden="0" customWidth="1"/>
    <x:col min="5" max="5" width="14" hidden="0" customWidth="1"/>
    <x:col min="6" max="6" width="18" hidden="0" customWidth="1"/>
    <x:col min="7" max="7" width="46" hidden="0" customWidth="1"/>
    <x:col min="8" max="8" width="38" hidden="0" customWidth="1"/>
    <x:col min="9" max="9" width="14" hidden="0" customWidth="1"/>
  </x:cols>
  <x:sheetData>
    <x:row r="1">
      <x:c r="A1" s="96" t="str">
        <x:v>Risk ID</x:v>
      </x:c>
      <x:c r="B1" s="96" t="str">
        <x:v>Risk / Issue</x:v>
      </x:c>
      <x:c r="C1" s="96" t="str">
        <x:v>Impact</x:v>
      </x:c>
      <x:c r="D1" s="96" t="str">
        <x:v>Probability</x:v>
      </x:c>
      <x:c r="E1" s="96" t="str">
        <x:v>Severity</x:v>
      </x:c>
      <x:c r="F1" s="96" t="str">
        <x:v>Owner</x:v>
      </x:c>
      <x:c r="G1" s="96" t="str">
        <x:v>Mitigation</x:v>
      </x:c>
      <x:c r="H1" s="96" t="str">
        <x:v>Early Warning</x:v>
      </x:c>
      <x:c r="I1" s="96" t="str">
        <x:v>Status</x:v>
      </x:c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R4-01</x:v>
      </x:c>
      <x:c r="B2" s="83" t="str">
        <x:v>Event architecture becomes too broad for one week</x:v>
      </x:c>
      <x:c r="C2" s="83" t="str">
        <x:v>Timeline miss</x:v>
      </x:c>
      <x:c r="D2" s="83" t="str">
        <x:v>Medium</x:v>
      </x:c>
      <x:c r="E2" s="83" t="str">
        <x:v>High</x:v>
      </x:c>
      <x:c r="F2" s="83" t="str">
        <x:v>Project Manager</x:v>
      </x:c>
      <x:c r="G2" s="83" t="str">
        <x:v>Limit MVP to event store, publisher, query, timeline, DLQ and key producer hooks</x:v>
      </x:c>
      <x:c r="H2" s="83" t="str">
        <x:v>Requests for advanced analytics/replay</x:v>
      </x:c>
      <x:c r="I2" s="83" t="str">
        <x:v>Open</x:v>
      </x:c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R4-02</x:v>
      </x:c>
      <x:c r="B3" s="83" t="str">
        <x:v>Outbox dispatcher reliability issues</x:v>
      </x:c>
      <x:c r="C3" s="83" t="str">
        <x:v>Event loss or duplicate processing</x:v>
      </x:c>
      <x:c r="D3" s="83" t="str">
        <x:v>Medium</x:v>
      </x:c>
      <x:c r="E3" s="83" t="str">
        <x:v>Critical</x:v>
      </x:c>
      <x:c r="F3" s="83" t="str">
        <x:v>Pankaj</x:v>
      </x:c>
      <x:c r="G3" s="83" t="str">
        <x:v>Implement idempotent processing and retry status clearly</x:v>
      </x:c>
      <x:c r="H3" s="83" t="str">
        <x:v>Repeated failed dispatches</x:v>
      </x:c>
      <x:c r="I3" s="83" t="str">
        <x:v>Open</x:v>
      </x:c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R4-03</x:v>
      </x:c>
      <x:c r="B4" s="83" t="str">
        <x:v>Event payload contains sensitive data</x:v>
      </x:c>
      <x:c r="C4" s="83" t="str">
        <x:v>Privacy/security risk</x:v>
      </x:c>
      <x:c r="D4" s="83" t="str">
        <x:v>Low</x:v>
      </x:c>
      <x:c r="E4" s="83" t="str">
        <x:v>Critical</x:v>
      </x:c>
      <x:c r="F4" s="83" t="str">
        <x:v>Pankaj</x:v>
      </x:c>
      <x:c r="G4" s="83" t="str">
        <x:v>Use references/masking; apply classification review</x:v>
      </x:c>
      <x:c r="H4" s="83" t="str">
        <x:v>Raw data appears in payload</x:v>
      </x:c>
      <x:c r="I4" s="83" t="str">
        <x:v>Open</x:v>
      </x:c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R4-04</x:v>
      </x:c>
      <x:c r="B5" s="83" t="str">
        <x:v>Frontend blocked by backend APIs</x:v>
      </x:c>
      <x:c r="C5" s="83" t="str">
        <x:v>UI delays</x:v>
      </x:c>
      <x:c r="D5" s="83" t="str">
        <x:v>Medium</x:v>
      </x:c>
      <x:c r="E5" s="83" t="str">
        <x:v>High</x:v>
      </x:c>
      <x:c r="F5" s="83" t="str">
        <x:v>Aayush</x:v>
      </x:c>
      <x:c r="G5" s="83" t="str">
        <x:v>Provide API contract and mock data by Day 3</x:v>
      </x:c>
      <x:c r="H5" s="83" t="str">
        <x:v>UI routes remain placeholders</x:v>
      </x:c>
      <x:c r="I5" s="83" t="str">
        <x:v>Open</x:v>
      </x:c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R4-05</x:v>
      </x:c>
      <x:c r="B6" s="83" t="str">
        <x:v>Timeline reconstruction incomplete</x:v>
      </x:c>
      <x:c r="C6" s="83" t="str">
        <x:v>Audit value reduced</x:v>
      </x:c>
      <x:c r="D6" s="83" t="str">
        <x:v>Medium</x:v>
      </x:c>
      <x:c r="E6" s="83" t="str">
        <x:v>High</x:v>
      </x:c>
      <x:c r="F6" s="83" t="str">
        <x:v>Pankaj</x:v>
      </x:c>
      <x:c r="G6" s="83" t="str">
        <x:v>Enforce correlation_id and subject references in publisher</x:v>
      </x:c>
      <x:c r="H6" s="83" t="str">
        <x:v>Events missing correlation_id</x:v>
      </x:c>
      <x:c r="I6" s="83" t="str">
        <x:v>Open</x:v>
      </x:c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R4-06</x:v>
      </x:c>
      <x:c r="B7" s="83" t="str">
        <x:v>DB query performance poor</x:v>
      </x:c>
      <x:c r="C7" s="83" t="str">
        <x:v>Slow explorer/timeline</x:v>
      </x:c>
      <x:c r="D7" s="83" t="str">
        <x:v>Medium</x:v>
      </x:c>
      <x:c r="E7" s="83" t="str">
        <x:v>Medium</x:v>
      </x:c>
      <x:c r="F7" s="83" t="str">
        <x:v>Aayush</x:v>
      </x:c>
      <x:c r="G7" s="83" t="str">
        <x:v>Create indexes for event_type/time/correlation/subject JSONB</x:v>
      </x:c>
      <x:c r="H7" s="83" t="str">
        <x:v>Event Explorer slow</x:v>
      </x:c>
      <x:c r="I7" s="83" t="str">
        <x:v>Open</x:v>
      </x:c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R4-07</x:v>
      </x:c>
      <x:c r="B8" s="83" t="str">
        <x:v>Audit immutability not enforced</x:v>
      </x:c>
      <x:c r="C8" s="83" t="str">
        <x:v>Governance failure</x:v>
      </x:c>
      <x:c r="D8" s="83" t="str">
        <x:v>Low</x:v>
      </x:c>
      <x:c r="E8" s="83" t="str">
        <x:v>Critical</x:v>
      </x:c>
      <x:c r="F8" s="83" t="str">
        <x:v>Pankaj</x:v>
      </x:c>
      <x:c r="G8" s="83" t="str">
        <x:v>Block update/delete APIs; use append-only permission model</x:v>
      </x:c>
      <x:c r="H8" s="83" t="str">
        <x:v>Events editable in normal path</x:v>
      </x:c>
      <x:c r="I8" s="83" t="str">
        <x:v>Open</x:v>
      </x:c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R4-08</x:v>
      </x:c>
      <x:c r="B9" s="83" t="str">
        <x:v>Too many producer integrations attempted</x:v>
      </x:c>
      <x:c r="C9" s="83" t="str">
        <x:v>Core not stabilized</x:v>
      </x:c>
      <x:c r="D9" s="83" t="str">
        <x:v>Medium</x:v>
      </x:c>
      <x:c r="E9" s="83" t="str">
        <x:v>High</x:v>
      </x:c>
      <x:c r="F9" s="83" t="str">
        <x:v>PM</x:v>
      </x:c>
      <x:c r="G9" s="83" t="str">
        <x:v>Implement 5 key producer hooks only in week 1</x:v>
      </x:c>
      <x:c r="H9" s="83" t="str">
        <x:v>Integration list keeps growing</x:v>
      </x:c>
      <x:c r="I9" s="83" t="str">
        <x:v>Open</x:v>
      </x:c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pageMargins left="0.7" right="0.7" top="0.75" bottom="0.75" header="0.3" footer="0.3"/>
  <x:tableParts count="1">
    <x:tablePart xmlns:r="http://schemas.openxmlformats.org/officeDocument/2006/relationships" r:id="R0aa57edf70ad4f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18" hidden="0" customWidth="1"/>
    <x:col min="4" max="4" width="12" hidden="0" customWidth="1"/>
    <x:col min="5" max="5" width="15" hidden="0" customWidth="1"/>
    <x:col min="6" max="6" width="42" hidden="0" customWidth="1"/>
  </x:cols>
  <x:sheetData>
    <x:row r="1">
      <x:c r="A1" s="98" t="str">
        <x:v>Area</x:v>
      </x:c>
      <x:c r="B1" s="98" t="str">
        <x:v>Acceptance Item</x:v>
      </x:c>
      <x:c r="C1" s="98" t="str">
        <x:v>Owner</x:v>
      </x:c>
      <x:c r="D1" s="98" t="str">
        <x:v>Required</x:v>
      </x:c>
      <x:c r="E1" s="98" t="str">
        <x:v>Status</x:v>
      </x:c>
      <x:c r="F1" s="98" t="str">
        <x:v>Evidence / Notes</x:v>
      </x:c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Database</x:v>
      </x:c>
      <x:c r="B2" s="83" t="str">
        <x:v>governance_events table created as append-only event store</x:v>
      </x:c>
      <x:c r="C2" s="83" t="str">
        <x:v>Aayush</x:v>
      </x:c>
      <x:c r="D2" s="83" t="str">
        <x:v>Yes</x:v>
      </x:c>
      <x:c r="E2" s="83" t="str">
        <x:v>Not Started</x:v>
      </x:c>
      <x:c r="F2" s="83" t="str"/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Database</x:v>
      </x:c>
      <x:c r="B3" s="83" t="str">
        <x:v>event_outbox, event_processing_log and event_dead_letter tables created</x:v>
      </x:c>
      <x:c r="C3" s="83" t="str">
        <x:v>Aayush</x:v>
      </x:c>
      <x:c r="D3" s="83" t="str">
        <x:v>Yes</x:v>
      </x:c>
      <x:c r="E3" s="83" t="str">
        <x:v>Not Started</x:v>
      </x:c>
      <x:c r="F3" s="83" t="str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Database</x:v>
      </x:c>
      <x:c r="B4" s="83" t="str">
        <x:v>event_schema_registry, retention rules and export log available</x:v>
      </x:c>
      <x:c r="C4" s="83" t="str">
        <x:v>Aayush</x:v>
      </x:c>
      <x:c r="D4" s="83" t="str">
        <x:v>Yes</x:v>
      </x:c>
      <x:c r="E4" s="83" t="str">
        <x:v>Not Started</x:v>
      </x:c>
      <x:c r="F4" s="83" t="str"/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Database</x:v>
      </x:c>
      <x:c r="B5" s="83" t="str">
        <x:v>Indexes support event type, occurred_at, correlation_id, subject and actor queries</x:v>
      </x:c>
      <x:c r="C5" s="83" t="str">
        <x:v>Aayush</x:v>
      </x:c>
      <x:c r="D5" s="83" t="str">
        <x:v>Yes</x:v>
      </x:c>
      <x:c r="E5" s="83" t="str">
        <x:v>Not Started</x:v>
      </x:c>
      <x:c r="F5" s="83" t="str"/>
      <x:c r="G5" s="83"/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Backend</x:v>
      </x:c>
      <x:c r="B6" s="83" t="str">
        <x:v>Event publisher creates canonical event envelope and persists event</x:v>
      </x:c>
      <x:c r="C6" s="83" t="str">
        <x:v>Pankaj</x:v>
      </x:c>
      <x:c r="D6" s="83" t="str">
        <x:v>Yes</x:v>
      </x:c>
      <x:c r="E6" s="83" t="str">
        <x:v>Not Started</x:v>
      </x:c>
      <x:c r="F6" s="83" t="str"/>
      <x:c r="G6" s="83"/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Backend</x:v>
      </x:c>
      <x:c r="B7" s="83" t="str">
        <x:v>Schema validation blocks incomplete or invalid events</x:v>
      </x:c>
      <x:c r="C7" s="83" t="str">
        <x:v>Pankaj</x:v>
      </x:c>
      <x:c r="D7" s="83" t="str">
        <x:v>Yes</x:v>
      </x:c>
      <x:c r="E7" s="83" t="str">
        <x:v>Not Started</x:v>
      </x:c>
      <x:c r="F7" s="83" t="str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Backend</x:v>
      </x:c>
      <x:c r="B8" s="83" t="str">
        <x:v>Outbox dispatcher retries and dead-letters failed events</x:v>
      </x:c>
      <x:c r="C8" s="83" t="str">
        <x:v>Pankaj</x:v>
      </x:c>
      <x:c r="D8" s="83" t="str">
        <x:v>Yes</x:v>
      </x:c>
      <x:c r="E8" s="83" t="str">
        <x:v>Not Started</x:v>
      </x:c>
      <x:c r="F8" s="83" t="str"/>
      <x:c r="G8" s="83"/>
      <x:c r="H8" s="83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Backend</x:v>
      </x:c>
      <x:c r="B9" s="83" t="str">
        <x:v>Timeline API reconstructs subject and correlation event chains</x:v>
      </x:c>
      <x:c r="C9" s="83" t="str">
        <x:v>Pankaj</x:v>
      </x:c>
      <x:c r="D9" s="83" t="str">
        <x:v>Yes</x:v>
      </x:c>
      <x:c r="E9" s="83" t="str">
        <x:v>Not Started</x:v>
      </x:c>
      <x:c r="F9" s="83" t="str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 t="str">
        <x:v>Backend</x:v>
      </x:c>
      <x:c r="B10" s="83" t="str">
        <x:v>Existing modules emit at least five key governance events</x:v>
      </x:c>
      <x:c r="C10" s="83" t="str">
        <x:v>Aayush</x:v>
      </x:c>
      <x:c r="D10" s="83" t="str">
        <x:v>Yes</x:v>
      </x:c>
      <x:c r="E10" s="83" t="str">
        <x:v>Not Started</x:v>
      </x:c>
      <x:c r="F10" s="83" t="str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 t="str">
        <x:v>Security</x:v>
      </x:c>
      <x:c r="B11" s="83" t="str">
        <x:v>Events cannot be updated/deleted through normal application path</x:v>
      </x:c>
      <x:c r="C11" s="83" t="str">
        <x:v>Pankaj</x:v>
      </x:c>
      <x:c r="D11" s="83" t="str">
        <x:v>Yes</x:v>
      </x:c>
      <x:c r="E11" s="83" t="str">
        <x:v>Not Started</x:v>
      </x:c>
      <x:c r="F11" s="83" t="str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 t="str">
        <x:v>Security</x:v>
      </x:c>
      <x:c r="B12" s="83" t="str">
        <x:v>Event access respects tenant, RBAC/ABAC and classification</x:v>
      </x:c>
      <x:c r="C12" s="83" t="str">
        <x:v>Pankaj</x:v>
      </x:c>
      <x:c r="D12" s="83" t="str">
        <x:v>Yes</x:v>
      </x:c>
      <x:c r="E12" s="83" t="str">
        <x:v>Not Started</x:v>
      </x:c>
      <x:c r="F12" s="83" t="str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 t="str">
        <x:v>Frontend</x:v>
      </x:c>
      <x:c r="B13" s="83" t="str">
        <x:v>Event Explorer supports search, filter and event detail</x:v>
      </x:c>
      <x:c r="C13" s="83" t="str">
        <x:v>Poorvith</x:v>
      </x:c>
      <x:c r="D13" s="83" t="str">
        <x:v>Yes</x:v>
      </x:c>
      <x:c r="E13" s="83" t="str">
        <x:v>Not Started</x:v>
      </x:c>
      <x:c r="F13" s="83" t="str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 t="str">
        <x:v>Frontend</x:v>
      </x:c>
      <x:c r="B14" s="83" t="str">
        <x:v>Audit Timeline displays ordered event lifecycle with actor and subject</x:v>
      </x:c>
      <x:c r="C14" s="83" t="str">
        <x:v>Poorvith</x:v>
      </x:c>
      <x:c r="D14" s="83" t="str">
        <x:v>Yes</x:v>
      </x:c>
      <x:c r="E14" s="83" t="str">
        <x:v>Not Started</x:v>
      </x:c>
      <x:c r="F14" s="83" t="str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 t="str">
        <x:v>Frontend</x:v>
      </x:c>
      <x:c r="B15" s="83" t="str">
        <x:v>Dead Letter Queue and retry action visible to admin role</x:v>
      </x:c>
      <x:c r="C15" s="83" t="str">
        <x:v>Poorvith</x:v>
      </x:c>
      <x:c r="D15" s="83" t="str">
        <x:v>Yes</x:v>
      </x:c>
      <x:c r="E15" s="83" t="str">
        <x:v>Not Started</x:v>
      </x:c>
      <x:c r="F15" s="83" t="str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 t="str">
        <x:v>Frontend</x:v>
      </x:c>
      <x:c r="B16" s="83" t="str">
        <x:v>Audit Export request panel logs export request</x:v>
      </x:c>
      <x:c r="C16" s="83" t="str">
        <x:v>Poorvith</x:v>
      </x:c>
      <x:c r="D16" s="83" t="str">
        <x:v>Yes</x:v>
      </x:c>
      <x:c r="E16" s="83" t="str">
        <x:v>Not Started</x:v>
      </x:c>
      <x:c r="F16" s="83" t="str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 t="str">
        <x:v>QA</x:v>
      </x:c>
      <x:c r="B17" s="83" t="str">
        <x:v>DB/API/UI/security/integration tests executed with evidence</x:v>
      </x:c>
      <x:c r="C17" s="83" t="str">
        <x:v>Pankaj</x:v>
      </x:c>
      <x:c r="D17" s="83" t="str">
        <x:v>Yes</x:v>
      </x:c>
      <x:c r="E17" s="83" t="str">
        <x:v>Not Started</x:v>
      </x:c>
      <x:c r="F17" s="83" t="str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 t="str">
        <x:v>Delivery</x:v>
      </x:c>
      <x:c r="B18" s="83" t="str">
        <x:v>Handover pack contains scripts, API docs, UI route list, QA evidence and open issues</x:v>
      </x:c>
      <x:c r="C18" s="83" t="str">
        <x:v>PM</x:v>
      </x:c>
      <x:c r="D18" s="83" t="str">
        <x:v>Yes</x:v>
      </x:c>
      <x:c r="E18" s="83" t="str">
        <x:v>Not Started</x:v>
      </x:c>
      <x:c r="F18" s="83" t="str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dataValidations count="1">
    <x:dataValidation type="list" sqref="E2:E1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9638bab6174d8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8" hidden="0" customWidth="1"/>
    <x:col min="5" max="5" width="14" hidden="0" customWidth="1"/>
    <x:col min="6" max="6" width="45" hidden="0" customWidth="1"/>
    <x:col min="7" max="7" width="15" hidden="0" customWidth="1"/>
    <x:col min="8" max="8" width="30" hidden="0" customWidth="1"/>
  </x:cols>
  <x:sheetData>
    <x:row r="1">
      <x:c r="A1" s="100" t="str">
        <x:v>Test ID</x:v>
      </x:c>
      <x:c r="B1" s="100" t="str">
        <x:v>Scenario</x:v>
      </x:c>
      <x:c r="C1" s="100" t="str">
        <x:v>Type</x:v>
      </x:c>
      <x:c r="D1" s="100" t="str">
        <x:v>Owner</x:v>
      </x:c>
      <x:c r="E1" s="100" t="str">
        <x:v>Day</x:v>
      </x:c>
      <x:c r="F1" s="100" t="str">
        <x:v>Expected Result</x:v>
      </x:c>
      <x:c r="G1" s="100" t="str">
        <x:v>Status</x:v>
      </x:c>
      <x:c r="H1" s="100" t="str">
        <x:v>Evidence</x:v>
      </x:c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QA4-001</x:v>
      </x:c>
      <x:c r="B2" s="83" t="str">
        <x:v>Publish valid governance event</x:v>
      </x:c>
      <x:c r="C2" s="83" t="str">
        <x:v>API/DB</x:v>
      </x:c>
      <x:c r="D2" s="83" t="str">
        <x:v>Pankaj</x:v>
      </x:c>
      <x:c r="E2" s="83" t="str">
        <x:v>20-Jul-2026</x:v>
      </x:c>
      <x:c r="F2" s="83" t="str">
        <x:v>Event stored and outbox record created</x:v>
      </x:c>
      <x:c r="G2" s="83" t="str">
        <x:v>Not Started</x:v>
      </x:c>
      <x:c r="H2" s="83" t="str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QA4-002</x:v>
      </x:c>
      <x:c r="B3" s="83" t="str">
        <x:v>Reject event missing actor or subject</x:v>
      </x:c>
      <x:c r="C3" s="83" t="str">
        <x:v>Negative</x:v>
      </x:c>
      <x:c r="D3" s="83" t="str">
        <x:v>Pankaj</x:v>
      </x:c>
      <x:c r="E3" s="83" t="str">
        <x:v>20-Jul-2026</x:v>
      </x:c>
      <x:c r="F3" s="83" t="str">
        <x:v>API returns validation error; no event persisted</x:v>
      </x:c>
      <x:c r="G3" s="83" t="str">
        <x:v>Not Started</x:v>
      </x:c>
      <x:c r="H3" s="83" t="str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QA4-003</x:v>
      </x:c>
      <x:c r="B4" s="83" t="str">
        <x:v>Search events by event_type and date range</x:v>
      </x:c>
      <x:c r="C4" s="83" t="str">
        <x:v>API</x:v>
      </x:c>
      <x:c r="D4" s="83" t="str">
        <x:v>Pankaj</x:v>
      </x:c>
      <x:c r="E4" s="83" t="str">
        <x:v>20-Jul-2026</x:v>
      </x:c>
      <x:c r="F4" s="83" t="str">
        <x:v>Filtered results correct</x:v>
      </x:c>
      <x:c r="G4" s="83" t="str">
        <x:v>Not Started</x:v>
      </x:c>
      <x:c r="H4" s="83" t="str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QA4-004</x:v>
      </x:c>
      <x:c r="B5" s="83" t="str">
        <x:v>Fetch full timeline by correlation_id</x:v>
      </x:c>
      <x:c r="C5" s="83" t="str">
        <x:v>API/UI</x:v>
      </x:c>
      <x:c r="D5" s="83" t="str">
        <x:v>Pankaj</x:v>
      </x:c>
      <x:c r="E5" s="83" t="str">
        <x:v>20-Jul-2026</x:v>
      </x:c>
      <x:c r="F5" s="83" t="str">
        <x:v>Ordered lifecycle returned and shown in UI</x:v>
      </x:c>
      <x:c r="G5" s="83" t="str">
        <x:v>Not Started</x:v>
      </x:c>
      <x:c r="H5" s="83" t="str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QA4-005</x:v>
      </x:c>
      <x:c r="B6" s="83" t="str">
        <x:v>Verify event immutability</x:v>
      </x:c>
      <x:c r="C6" s="83" t="str">
        <x:v>Security</x:v>
      </x:c>
      <x:c r="D6" s="83" t="str">
        <x:v>Pankaj</x:v>
      </x:c>
      <x:c r="E6" s="83" t="str">
        <x:v>21-Jul-2026</x:v>
      </x:c>
      <x:c r="F6" s="83" t="str">
        <x:v>Update/delete blocked through app path</x:v>
      </x:c>
      <x:c r="G6" s="83" t="str">
        <x:v>Not Started</x:v>
      </x:c>
      <x:c r="H6" s="83" t="str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QA4-006</x:v>
      </x:c>
      <x:c r="B7" s="83" t="str">
        <x:v>Outbox retry and dead-letter after failure</x:v>
      </x:c>
      <x:c r="C7" s="83" t="str">
        <x:v>Integration</x:v>
      </x:c>
      <x:c r="D7" s="83" t="str">
        <x:v>Pankaj</x:v>
      </x:c>
      <x:c r="E7" s="83" t="str">
        <x:v>20-Jul-2026</x:v>
      </x:c>
      <x:c r="F7" s="83" t="str">
        <x:v>Retries tracked and DLQ record created</x:v>
      </x:c>
      <x:c r="G7" s="83" t="str">
        <x:v>Not Started</x:v>
      </x:c>
      <x:c r="H7" s="83" t="str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QA4-007</x:v>
      </x:c>
      <x:c r="B8" s="83" t="str">
        <x:v>Event Explorer loading/empty/error states</x:v>
      </x:c>
      <x:c r="C8" s="83" t="str">
        <x:v>UI</x:v>
      </x:c>
      <x:c r="D8" s="83" t="str">
        <x:v>Poorvith</x:v>
      </x:c>
      <x:c r="E8" s="83" t="str">
        <x:v>20-Jul-2026</x:v>
      </x:c>
      <x:c r="F8" s="83" t="str">
        <x:v>Correct UX states displayed</x:v>
      </x:c>
      <x:c r="G8" s="83" t="str">
        <x:v>Not Started</x:v>
      </x:c>
      <x:c r="H8" s="83" t="str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 t="str">
        <x:v>QA4-008</x:v>
      </x:c>
      <x:c r="B9" s="83" t="str">
        <x:v>Event Detail Drawer payload rendering</x:v>
      </x:c>
      <x:c r="C9" s="83" t="str">
        <x:v>UI</x:v>
      </x:c>
      <x:c r="D9" s="83" t="str">
        <x:v>Poorvith</x:v>
      </x:c>
      <x:c r="E9" s="83" t="str">
        <x:v>20-Jul-2026</x:v>
      </x:c>
      <x:c r="F9" s="83" t="str">
        <x:v>Envelope and payload visible safely</x:v>
      </x:c>
      <x:c r="G9" s="83" t="str">
        <x:v>Not Started</x:v>
      </x:c>
      <x:c r="H9" s="83" t="str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 t="str">
        <x:v>QA4-009</x:v>
      </x:c>
      <x:c r="B10" s="83" t="str">
        <x:v>Classification-based event visibility</x:v>
      </x:c>
      <x:c r="C10" s="83" t="str">
        <x:v>Security</x:v>
      </x:c>
      <x:c r="D10" s="83" t="str">
        <x:v>Pankaj</x:v>
      </x:c>
      <x:c r="E10" s="83" t="str">
        <x:v>21-Jul-2026</x:v>
      </x:c>
      <x:c r="F10" s="83" t="str">
        <x:v>Unauthorized user cannot view restricted events</x:v>
      </x:c>
      <x:c r="G10" s="83" t="str">
        <x:v>Not Started</x:v>
      </x:c>
      <x:c r="H10" s="83" t="str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 t="str">
        <x:v>QA4-010</x:v>
      </x:c>
      <x:c r="B11" s="83" t="str">
        <x:v>Audit export request is logged</x:v>
      </x:c>
      <x:c r="C11" s="83" t="str">
        <x:v>API/UI</x:v>
      </x:c>
      <x:c r="D11" s="83" t="str">
        <x:v>Pankaj</x:v>
      </x:c>
      <x:c r="E11" s="83" t="str">
        <x:v>20-Jul-2026</x:v>
      </x:c>
      <x:c r="F11" s="83" t="str">
        <x:v>event_export_log record created</x:v>
      </x:c>
      <x:c r="G11" s="83" t="str">
        <x:v>Not Started</x:v>
      </x:c>
      <x:c r="H11" s="83" t="str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 t="str">
        <x:v>QA4-011</x:v>
      </x:c>
      <x:c r="B12" s="83" t="str">
        <x:v>Producer hook emits model/agent/relationship/workflow event</x:v>
      </x:c>
      <x:c r="C12" s="83" t="str">
        <x:v>Integration</x:v>
      </x:c>
      <x:c r="D12" s="83" t="str">
        <x:v>Aayush</x:v>
      </x:c>
      <x:c r="E12" s="83" t="str">
        <x:v>20-Jul-2026</x:v>
      </x:c>
      <x:c r="F12" s="83" t="str">
        <x:v>At least 5 flow events created</x:v>
      </x:c>
      <x:c r="G12" s="83" t="str">
        <x:v>Not Started</x:v>
      </x:c>
      <x:c r="H12" s="83" t="str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 t="str">
        <x:v>QA4-012</x:v>
      </x:c>
      <x:c r="B13" s="83" t="str">
        <x:v>Dashboard metrics show event counts and DLQ count</x:v>
      </x:c>
      <x:c r="C13" s="83" t="str">
        <x:v>UI/API</x:v>
      </x:c>
      <x:c r="D13" s="83" t="str">
        <x:v>Poorvith</x:v>
      </x:c>
      <x:c r="E13" s="83" t="str">
        <x:v>20-Jul-2026</x:v>
      </x:c>
      <x:c r="F13" s="83" t="str">
        <x:v>Widget values match API</x:v>
      </x:c>
      <x:c r="G13" s="83" t="str">
        <x:v>Not Started</x:v>
      </x:c>
      <x:c r="H13" s="83" t="str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dataValidations count="1">
    <x:dataValidation type="list" sqref="G2:G100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68b33ee583430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102" t="str">
        <x:v>Status</x:v>
      </x:c>
      <x:c r="B1" s="102" t="str">
        <x:v>Priority</x:v>
      </x:c>
      <x:c r="C1" s="102" t="str">
        <x:v>Owner</x:v>
      </x:c>
      <x:c r="D1" s="102" t="str">
        <x:v>Workstream</x:v>
      </x:c>
      <x:c r="E1" s="102" t="str">
        <x:v>RACI</x:v>
      </x:c>
      <x:c r="F1" s="102" t="str">
        <x:v>Severity</x:v>
      </x:c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>
      <x:c r="A2" s="83" t="str">
        <x:v>Not Started</x:v>
      </x:c>
      <x:c r="B2" s="83" t="str">
        <x:v>Critical</x:v>
      </x:c>
      <x:c r="C2" s="83" t="str">
        <x:v>Project Manager</x:v>
      </x:c>
      <x:c r="D2" s="83" t="str">
        <x:v>Database</x:v>
      </x:c>
      <x:c r="E2" s="83" t="str">
        <x:v>R</x:v>
      </x:c>
      <x:c r="F2" s="83" t="str">
        <x:v>Critical</x:v>
      </x:c>
      <x:c r="G2" s="83"/>
      <x:c r="H2" s="83"/>
      <x:c r="I2" s="83"/>
      <x:c r="J2" s="83"/>
      <x:c r="K2" s="83"/>
      <x:c r="L2" s="83"/>
      <x:c r="M2" s="83"/>
      <x:c r="N2" s="83"/>
      <x:c r="O2" s="83"/>
      <x:c r="P2" s="83"/>
      <x:c r="Q2" s="83"/>
      <x:c r="R2" s="83"/>
      <x:c r="S2" s="83"/>
      <x:c r="T2" s="83"/>
      <x:c r="U2" s="83"/>
      <x:c r="V2" s="83"/>
      <x:c r="W2" s="83"/>
      <x:c r="X2" s="83"/>
      <x:c r="Y2" s="83"/>
      <x:c r="Z2" s="83"/>
    </x:row>
    <x:row r="3">
      <x:c r="A3" s="83" t="str">
        <x:v>In Progress</x:v>
      </x:c>
      <x:c r="B3" s="83" t="str">
        <x:v>High</x:v>
      </x:c>
      <x:c r="C3" s="83" t="str">
        <x:v>Aayush</x:v>
      </x:c>
      <x:c r="D3" s="83" t="str">
        <x:v>Backend</x:v>
      </x:c>
      <x:c r="E3" s="83" t="str">
        <x:v>A</x:v>
      </x:c>
      <x:c r="F3" s="83" t="str">
        <x:v>High</x:v>
      </x:c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  <x:c r="U3" s="83"/>
      <x:c r="V3" s="83"/>
      <x:c r="W3" s="83"/>
      <x:c r="X3" s="83"/>
      <x:c r="Y3" s="83"/>
      <x:c r="Z3" s="83"/>
    </x:row>
    <x:row r="4">
      <x:c r="A4" s="83" t="str">
        <x:v>Blocked</x:v>
      </x:c>
      <x:c r="B4" s="83" t="str">
        <x:v>Medium</x:v>
      </x:c>
      <x:c r="C4" s="83" t="str">
        <x:v>Pankaj</x:v>
      </x:c>
      <x:c r="D4" s="83" t="str">
        <x:v>Frontend</x:v>
      </x:c>
      <x:c r="E4" s="83" t="str">
        <x:v>C</x:v>
      </x:c>
      <x:c r="F4" s="83" t="str">
        <x:v>Medium</x:v>
      </x:c>
      <x:c r="G4" s="83"/>
      <x:c r="H4" s="83"/>
      <x:c r="I4" s="83"/>
      <x:c r="J4" s="83"/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  <x:c r="W4" s="83"/>
      <x:c r="X4" s="83"/>
      <x:c r="Y4" s="83"/>
      <x:c r="Z4" s="83"/>
    </x:row>
    <x:row r="5">
      <x:c r="A5" s="83" t="str">
        <x:v>At Risk</x:v>
      </x:c>
      <x:c r="B5" s="83" t="str">
        <x:v>Low</x:v>
      </x:c>
      <x:c r="C5" s="83" t="str">
        <x:v>Poorvith</x:v>
      </x:c>
      <x:c r="D5" s="83" t="str">
        <x:v>Integration</x:v>
      </x:c>
      <x:c r="E5" s="83" t="str">
        <x:v>I</x:v>
      </x:c>
      <x:c r="F5" s="83" t="str">
        <x:v>Low</x:v>
      </x:c>
      <x:c r="G5" s="83"/>
      <x:c r="H5" s="83"/>
      <x:c r="I5" s="83"/>
      <x:c r="J5" s="83"/>
      <x:c r="K5" s="83"/>
      <x:c r="L5" s="83"/>
      <x:c r="M5" s="83"/>
      <x:c r="N5" s="83"/>
      <x:c r="O5" s="83"/>
      <x:c r="P5" s="83"/>
      <x:c r="Q5" s="83"/>
      <x:c r="R5" s="83"/>
      <x:c r="S5" s="83"/>
      <x:c r="T5" s="83"/>
      <x:c r="U5" s="83"/>
      <x:c r="V5" s="83"/>
      <x:c r="W5" s="83"/>
      <x:c r="X5" s="83"/>
      <x:c r="Y5" s="83"/>
      <x:c r="Z5" s="83"/>
    </x:row>
    <x:row r="6">
      <x:c r="A6" s="83" t="str">
        <x:v>Completed</x:v>
      </x:c>
      <x:c r="B6" s="83"/>
      <x:c r="C6" s="83" t="str">
        <x:v>All</x:v>
      </x:c>
      <x:c r="D6" s="83" t="str">
        <x:v>QA</x:v>
      </x:c>
      <x:c r="E6" s="83"/>
      <x:c r="F6" s="83"/>
      <x:c r="G6" s="83"/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</x:row>
    <x:row r="7">
      <x:c r="A7" s="83" t="str">
        <x:v>Deferred</x:v>
      </x:c>
      <x:c r="B7" s="83"/>
      <x:c r="C7" s="83" t="str">
        <x:v>TBD</x:v>
      </x:c>
      <x:c r="D7" s="83" t="str">
        <x:v>Documentation</x:v>
      </x:c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  <x:c r="S7" s="83"/>
      <x:c r="T7" s="83"/>
      <x:c r="U7" s="83"/>
      <x:c r="V7" s="83"/>
      <x:c r="W7" s="83"/>
      <x:c r="X7" s="83"/>
      <x:c r="Y7" s="83"/>
      <x:c r="Z7" s="83"/>
    </x:row>
    <x:row r="8">
      <x:c r="A8" s="83" t="str">
        <x:v>On Hold</x:v>
      </x:c>
      <x:c r="B8" s="83"/>
      <x:c r="C8" s="83"/>
      <x:c r="D8" s="83" t="str">
        <x:v>Project Management</x:v>
      </x:c>
      <x:c r="E8" s="83"/>
      <x:c r="F8" s="83"/>
      <x:c r="G8" s="83"/>
      <x:c r="H8" s="83"/>
      <x:c r="I8" s="83"/>
      <x:c r="J8" s="83"/>
      <x:c r="K8" s="83"/>
      <x:c r="L8" s="83"/>
      <x:c r="M8" s="83"/>
      <x:c r="N8" s="83"/>
      <x:c r="O8" s="83"/>
      <x:c r="P8" s="83"/>
      <x:c r="Q8" s="83"/>
      <x:c r="R8" s="83"/>
      <x:c r="S8" s="83"/>
      <x:c r="T8" s="83"/>
      <x:c r="U8" s="83"/>
      <x:c r="V8" s="83"/>
      <x:c r="W8" s="83"/>
      <x:c r="X8" s="83"/>
      <x:c r="Y8" s="83"/>
      <x:c r="Z8" s="83"/>
    </x:row>
    <x:row r="9">
      <x:c r="A9" s="83"/>
      <x:c r="B9" s="83"/>
      <x:c r="C9" s="83"/>
      <x:c r="D9" s="83" t="str">
        <x:v>DevOps</x:v>
      </x:c>
      <x:c r="E9" s="83"/>
      <x:c r="F9" s="83"/>
      <x:c r="G9" s="83"/>
      <x:c r="H9" s="83"/>
      <x:c r="I9" s="83"/>
      <x:c r="J9" s="83"/>
      <x:c r="K9" s="83"/>
      <x:c r="L9" s="83"/>
      <x:c r="M9" s="83"/>
      <x:c r="N9" s="83"/>
      <x:c r="O9" s="83"/>
      <x:c r="P9" s="83"/>
      <x:c r="Q9" s="83"/>
      <x:c r="R9" s="83"/>
      <x:c r="S9" s="83"/>
      <x:c r="T9" s="83"/>
      <x:c r="U9" s="83"/>
      <x:c r="V9" s="83"/>
      <x:c r="W9" s="83"/>
      <x:c r="X9" s="83"/>
      <x:c r="Y9" s="83"/>
      <x:c r="Z9" s="83"/>
    </x:row>
    <x:row r="10">
      <x:c r="A10" s="83"/>
      <x:c r="B10" s="83"/>
      <x:c r="C10" s="83"/>
      <x:c r="D10" s="83" t="str">
        <x:v>Security</x:v>
      </x:c>
      <x:c r="E10" s="83"/>
      <x:c r="F10" s="83"/>
      <x:c r="G10" s="83"/>
      <x:c r="H10" s="83"/>
      <x:c r="I10" s="83"/>
      <x:c r="J10" s="83"/>
      <x:c r="K10" s="83"/>
      <x:c r="L10" s="83"/>
      <x:c r="M10" s="83"/>
      <x:c r="N10" s="83"/>
      <x:c r="O10" s="83"/>
      <x:c r="P10" s="83"/>
      <x:c r="Q10" s="83"/>
      <x:c r="R10" s="83"/>
      <x:c r="S10" s="83"/>
      <x:c r="T10" s="83"/>
      <x:c r="U10" s="83"/>
      <x:c r="V10" s="83"/>
      <x:c r="W10" s="83"/>
      <x:c r="X10" s="83"/>
      <x:c r="Y10" s="83"/>
      <x:c r="Z10" s="83"/>
    </x:row>
    <x:row r="11">
      <x:c r="A11" s="83"/>
      <x:c r="B11" s="83"/>
      <x:c r="C11" s="83"/>
      <x:c r="D11" s="83"/>
      <x:c r="E11" s="83"/>
      <x:c r="F11" s="83"/>
      <x:c r="G11" s="83"/>
      <x:c r="H11" s="83"/>
      <x:c r="I11" s="83"/>
      <x:c r="J11" s="83"/>
      <x:c r="K11" s="83"/>
      <x:c r="L11" s="83"/>
      <x:c r="M11" s="83"/>
      <x:c r="N11" s="83"/>
      <x:c r="O11" s="83"/>
      <x:c r="P11" s="83"/>
      <x:c r="Q11" s="83"/>
      <x:c r="R11" s="83"/>
      <x:c r="S11" s="83"/>
      <x:c r="T11" s="83"/>
      <x:c r="U11" s="83"/>
      <x:c r="V11" s="83"/>
      <x:c r="W11" s="83"/>
      <x:c r="X11" s="83"/>
      <x:c r="Y11" s="83"/>
      <x:c r="Z11" s="83"/>
    </x:row>
    <x:row r="12">
      <x:c r="A12" s="83"/>
      <x:c r="B12" s="83"/>
      <x:c r="C12" s="83"/>
      <x:c r="D12" s="83"/>
      <x:c r="E12" s="83"/>
      <x:c r="F12" s="83"/>
      <x:c r="G12" s="83"/>
      <x:c r="H12" s="83"/>
      <x:c r="I12" s="83"/>
      <x:c r="J12" s="83"/>
      <x:c r="K12" s="83"/>
      <x:c r="L12" s="83"/>
      <x:c r="M12" s="83"/>
      <x:c r="N12" s="83"/>
      <x:c r="O12" s="83"/>
      <x:c r="P12" s="83"/>
      <x:c r="Q12" s="83"/>
      <x:c r="R12" s="83"/>
      <x:c r="S12" s="83"/>
      <x:c r="T12" s="83"/>
      <x:c r="U12" s="83"/>
      <x:c r="V12" s="83"/>
      <x:c r="W12" s="83"/>
      <x:c r="X12" s="83"/>
      <x:c r="Y12" s="83"/>
      <x:c r="Z12" s="83"/>
    </x:row>
    <x:row r="13">
      <x:c r="A13" s="83"/>
      <x:c r="B13" s="83"/>
      <x:c r="C13" s="83"/>
      <x:c r="D13" s="83"/>
      <x:c r="E13" s="83"/>
      <x:c r="F13" s="83"/>
      <x:c r="G13" s="83"/>
      <x:c r="H13" s="83"/>
      <x:c r="I13" s="83"/>
      <x:c r="J13" s="83"/>
      <x:c r="K13" s="83"/>
      <x:c r="L13" s="83"/>
      <x:c r="M13" s="83"/>
      <x:c r="N13" s="83"/>
      <x:c r="O13" s="83"/>
      <x:c r="P13" s="83"/>
      <x:c r="Q13" s="83"/>
      <x:c r="R13" s="83"/>
      <x:c r="S13" s="83"/>
      <x:c r="T13" s="83"/>
      <x:c r="U13" s="83"/>
      <x:c r="V13" s="83"/>
      <x:c r="W13" s="83"/>
      <x:c r="X13" s="83"/>
      <x:c r="Y13" s="83"/>
      <x:c r="Z13" s="83"/>
    </x:row>
    <x:row r="14">
      <x:c r="A14" s="83"/>
      <x:c r="B14" s="83"/>
      <x:c r="C14" s="83"/>
      <x:c r="D14" s="83"/>
      <x:c r="E14" s="83"/>
      <x:c r="F14" s="83"/>
      <x:c r="G14" s="83"/>
      <x:c r="H14" s="83"/>
      <x:c r="I14" s="83"/>
      <x:c r="J14" s="83"/>
      <x:c r="K14" s="83"/>
      <x:c r="L14" s="83"/>
      <x:c r="M14" s="83"/>
      <x:c r="N14" s="83"/>
      <x:c r="O14" s="83"/>
      <x:c r="P14" s="83"/>
      <x:c r="Q14" s="83"/>
      <x:c r="R14" s="83"/>
      <x:c r="S14" s="83"/>
      <x:c r="T14" s="83"/>
      <x:c r="U14" s="83"/>
      <x:c r="V14" s="83"/>
      <x:c r="W14" s="83"/>
      <x:c r="X14" s="83"/>
      <x:c r="Y14" s="83"/>
      <x:c r="Z14" s="83"/>
    </x:row>
    <x:row r="15">
      <x:c r="A15" s="83"/>
      <x:c r="B15" s="83"/>
      <x:c r="C15" s="83"/>
      <x:c r="D15" s="83"/>
      <x:c r="E15" s="83"/>
      <x:c r="F15" s="83"/>
      <x:c r="G15" s="83"/>
      <x:c r="H15" s="83"/>
      <x:c r="I15" s="83"/>
      <x:c r="J15" s="83"/>
      <x:c r="K15" s="83"/>
      <x:c r="L15" s="83"/>
      <x:c r="M15" s="83"/>
      <x:c r="N15" s="83"/>
      <x:c r="O15" s="83"/>
      <x:c r="P15" s="83"/>
      <x:c r="Q15" s="83"/>
      <x:c r="R15" s="83"/>
      <x:c r="S15" s="83"/>
      <x:c r="T15" s="83"/>
      <x:c r="U15" s="83"/>
      <x:c r="V15" s="83"/>
      <x:c r="W15" s="83"/>
      <x:c r="X15" s="83"/>
      <x:c r="Y15" s="83"/>
      <x:c r="Z15" s="83"/>
    </x:row>
    <x:row r="16">
      <x:c r="A16" s="83"/>
      <x:c r="B16" s="83"/>
      <x:c r="C16" s="83"/>
      <x:c r="D16" s="83"/>
      <x:c r="E16" s="83"/>
      <x:c r="F16" s="83"/>
      <x:c r="G16" s="83"/>
      <x:c r="H16" s="83"/>
      <x:c r="I16" s="83"/>
      <x:c r="J16" s="83"/>
      <x:c r="K16" s="83"/>
      <x:c r="L16" s="83"/>
      <x:c r="M16" s="83"/>
      <x:c r="N16" s="83"/>
      <x:c r="O16" s="83"/>
      <x:c r="P16" s="83"/>
      <x:c r="Q16" s="83"/>
      <x:c r="R16" s="83"/>
      <x:c r="S16" s="83"/>
      <x:c r="T16" s="83"/>
      <x:c r="U16" s="83"/>
      <x:c r="V16" s="83"/>
      <x:c r="W16" s="83"/>
      <x:c r="X16" s="83"/>
      <x:c r="Y16" s="83"/>
      <x:c r="Z16" s="83"/>
    </x:row>
    <x:row r="17">
      <x:c r="A17" s="83"/>
      <x:c r="B17" s="83"/>
      <x:c r="C17" s="83"/>
      <x:c r="D17" s="83"/>
      <x:c r="E17" s="83"/>
      <x:c r="F17" s="83"/>
      <x:c r="G17" s="83"/>
      <x:c r="H17" s="83"/>
      <x:c r="I17" s="83"/>
      <x:c r="J17" s="83"/>
      <x:c r="K17" s="83"/>
      <x:c r="L17" s="83"/>
      <x:c r="M17" s="83"/>
      <x:c r="N17" s="83"/>
      <x:c r="O17" s="83"/>
      <x:c r="P17" s="83"/>
      <x:c r="Q17" s="83"/>
      <x:c r="R17" s="83"/>
      <x:c r="S17" s="83"/>
      <x:c r="T17" s="83"/>
      <x:c r="U17" s="83"/>
      <x:c r="V17" s="83"/>
      <x:c r="W17" s="83"/>
      <x:c r="X17" s="83"/>
      <x:c r="Y17" s="83"/>
      <x:c r="Z17" s="83"/>
    </x:row>
    <x:row r="18">
      <x:c r="A18" s="83"/>
      <x:c r="B18" s="83"/>
      <x:c r="C18" s="83"/>
      <x:c r="D18" s="83"/>
      <x:c r="E18" s="83"/>
      <x:c r="F18" s="83"/>
      <x:c r="G18" s="83"/>
      <x:c r="H18" s="83"/>
      <x:c r="I18" s="83"/>
      <x:c r="J18" s="83"/>
      <x:c r="K18" s="83"/>
      <x:c r="L18" s="83"/>
      <x:c r="M18" s="83"/>
      <x:c r="N18" s="83"/>
      <x:c r="O18" s="83"/>
      <x:c r="P18" s="83"/>
      <x:c r="Q18" s="83"/>
      <x:c r="R18" s="83"/>
      <x:c r="S18" s="83"/>
      <x:c r="T18" s="83"/>
      <x:c r="U18" s="83"/>
      <x:c r="V18" s="83"/>
      <x:c r="W18" s="83"/>
      <x:c r="X18" s="83"/>
      <x:c r="Y18" s="83"/>
      <x:c r="Z18" s="83"/>
    </x:row>
    <x:row r="19">
      <x:c r="A19" s="83"/>
      <x:c r="B19" s="83"/>
      <x:c r="C19" s="83"/>
      <x:c r="D19" s="83"/>
      <x:c r="E19" s="83"/>
      <x:c r="F19" s="83"/>
      <x:c r="G19" s="83"/>
      <x:c r="H19" s="83"/>
      <x:c r="I19" s="83"/>
      <x:c r="J19" s="83"/>
      <x:c r="K19" s="83"/>
      <x:c r="L19" s="83"/>
      <x:c r="M19" s="83"/>
      <x:c r="N19" s="83"/>
      <x:c r="O19" s="83"/>
      <x:c r="P19" s="83"/>
      <x:c r="Q19" s="83"/>
      <x:c r="R19" s="83"/>
      <x:c r="S19" s="83"/>
      <x:c r="T19" s="83"/>
      <x:c r="U19" s="83"/>
      <x:c r="V19" s="83"/>
      <x:c r="W19" s="83"/>
      <x:c r="X19" s="83"/>
      <x:c r="Y19" s="83"/>
      <x:c r="Z19" s="83"/>
    </x:row>
    <x:row r="20">
      <x:c r="A20" s="83"/>
      <x:c r="B20" s="83"/>
      <x:c r="C20" s="83"/>
      <x:c r="D20" s="83"/>
      <x:c r="E20" s="83"/>
      <x:c r="F20" s="83"/>
      <x:c r="G20" s="83"/>
      <x:c r="H20" s="83"/>
      <x:c r="I20" s="83"/>
      <x:c r="J20" s="83"/>
      <x:c r="K20" s="83"/>
      <x:c r="L20" s="83"/>
      <x:c r="M20" s="83"/>
      <x:c r="N20" s="83"/>
      <x:c r="O20" s="83"/>
      <x:c r="P20" s="83"/>
      <x:c r="Q20" s="83"/>
      <x:c r="R20" s="83"/>
      <x:c r="S20" s="83"/>
      <x:c r="T20" s="83"/>
      <x:c r="U20" s="83"/>
      <x:c r="V20" s="83"/>
      <x:c r="W20" s="83"/>
      <x:c r="X20" s="83"/>
      <x:c r="Y20" s="83"/>
      <x:c r="Z20" s="83"/>
    </x:row>
    <x:row r="21">
      <x:c r="A21" s="83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3"/>
      <x:c r="T21" s="83"/>
      <x:c r="U21" s="83"/>
      <x:c r="V21" s="83"/>
      <x:c r="W21" s="83"/>
      <x:c r="X21" s="83"/>
      <x:c r="Y21" s="83"/>
      <x:c r="Z21" s="83"/>
    </x:row>
    <x:row r="22">
      <x:c r="A22" s="83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3"/>
      <x:c r="T22" s="83"/>
      <x:c r="U22" s="83"/>
      <x:c r="V22" s="83"/>
      <x:c r="W22" s="83"/>
      <x:c r="X22" s="83"/>
      <x:c r="Y22" s="83"/>
      <x:c r="Z22" s="83"/>
    </x:row>
    <x:row r="23">
      <x:c r="A23" s="83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3"/>
      <x:c r="T23" s="83"/>
      <x:c r="U23" s="83"/>
      <x:c r="V23" s="83"/>
      <x:c r="W23" s="83"/>
      <x:c r="X23" s="83"/>
      <x:c r="Y23" s="83"/>
      <x:c r="Z23" s="83"/>
    </x:row>
    <x:row r="24">
      <x:c r="A24" s="83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3"/>
      <x:c r="T24" s="83"/>
      <x:c r="U24" s="83"/>
      <x:c r="V24" s="83"/>
      <x:c r="W24" s="83"/>
      <x:c r="X24" s="83"/>
      <x:c r="Y24" s="83"/>
      <x:c r="Z24" s="83"/>
    </x:row>
    <x:row r="25">
      <x:c r="A25" s="83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3"/>
      <x:c r="T25" s="83"/>
      <x:c r="U25" s="83"/>
      <x:c r="V25" s="83"/>
      <x:c r="W25" s="83"/>
      <x:c r="X25" s="83"/>
      <x:c r="Y25" s="83"/>
      <x:c r="Z25" s="83"/>
    </x:row>
    <x:row r="26">
      <x:c r="A26" s="83"/>
      <x:c r="B26" s="83"/>
      <x:c r="C26" s="83"/>
      <x:c r="D26" s="83"/>
      <x:c r="E26" s="83"/>
      <x:c r="F26" s="83"/>
      <x:c r="G26" s="83"/>
      <x:c r="H26" s="83"/>
      <x:c r="I26" s="83"/>
      <x:c r="J26" s="83"/>
      <x:c r="K26" s="83"/>
      <x:c r="L26" s="83"/>
      <x:c r="M26" s="83"/>
      <x:c r="N26" s="83"/>
      <x:c r="O26" s="83"/>
      <x:c r="P26" s="83"/>
      <x:c r="Q26" s="83"/>
      <x:c r="R26" s="83"/>
      <x:c r="S26" s="83"/>
      <x:c r="T26" s="83"/>
      <x:c r="U26" s="83"/>
      <x:c r="V26" s="83"/>
      <x:c r="W26" s="83"/>
      <x:c r="X26" s="83"/>
      <x:c r="Y26" s="83"/>
      <x:c r="Z26" s="83"/>
    </x:row>
    <x:row r="27">
      <x:c r="A27" s="83"/>
      <x:c r="B27" s="83"/>
      <x:c r="C27" s="83"/>
      <x:c r="D27" s="83"/>
      <x:c r="E27" s="83"/>
      <x:c r="F27" s="83"/>
      <x:c r="G27" s="83"/>
      <x:c r="H27" s="83"/>
      <x:c r="I27" s="83"/>
      <x:c r="J27" s="83"/>
      <x:c r="K27" s="83"/>
      <x:c r="L27" s="83"/>
      <x:c r="M27" s="83"/>
      <x:c r="N27" s="83"/>
      <x:c r="O27" s="83"/>
      <x:c r="P27" s="83"/>
      <x:c r="Q27" s="83"/>
      <x:c r="R27" s="83"/>
      <x:c r="S27" s="83"/>
      <x:c r="T27" s="83"/>
      <x:c r="U27" s="83"/>
      <x:c r="V27" s="83"/>
      <x:c r="W27" s="83"/>
      <x:c r="X27" s="83"/>
      <x:c r="Y27" s="83"/>
      <x:c r="Z27" s="83"/>
    </x:row>
    <x:row r="28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83"/>
      <x:c r="R28" s="83"/>
      <x:c r="S28" s="83"/>
      <x:c r="T28" s="83"/>
      <x:c r="U28" s="83"/>
      <x:c r="V28" s="83"/>
      <x:c r="W28" s="83"/>
      <x:c r="X28" s="83"/>
      <x:c r="Y28" s="83"/>
      <x:c r="Z28" s="83"/>
    </x:row>
    <x:row r="29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83"/>
      <x:c r="R29" s="83"/>
      <x:c r="S29" s="83"/>
      <x:c r="T29" s="83"/>
      <x:c r="U29" s="83"/>
      <x:c r="V29" s="83"/>
      <x:c r="W29" s="83"/>
      <x:c r="X29" s="83"/>
      <x:c r="Y29" s="83"/>
      <x:c r="Z29" s="83"/>
    </x:row>
    <x:row r="30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</x:row>
    <x:row r="31">
      <x:c r="A31" s="83"/>
      <x:c r="B31" s="83"/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  <x:c r="P31" s="83"/>
      <x:c r="Q31" s="83"/>
      <x:c r="R31" s="83"/>
      <x:c r="S31" s="83"/>
      <x:c r="T31" s="83"/>
      <x:c r="U31" s="83"/>
      <x:c r="V31" s="83"/>
      <x:c r="W31" s="83"/>
      <x:c r="X31" s="83"/>
      <x:c r="Y31" s="83"/>
      <x:c r="Z31" s="83"/>
    </x:row>
    <x:row r="32">
      <x:c r="A32" s="83"/>
      <x:c r="B32" s="83"/>
      <x:c r="C32" s="83"/>
      <x:c r="D32" s="83"/>
      <x:c r="E32" s="83"/>
      <x:c r="F32" s="83"/>
      <x:c r="G32" s="83"/>
      <x:c r="H32" s="83"/>
      <x:c r="I32" s="83"/>
      <x:c r="J32" s="83"/>
      <x:c r="K32" s="83"/>
      <x:c r="L32" s="83"/>
      <x:c r="M32" s="83"/>
      <x:c r="N32" s="83"/>
      <x:c r="O32" s="83"/>
      <x:c r="P32" s="83"/>
      <x:c r="Q32" s="83"/>
      <x:c r="R32" s="83"/>
      <x:c r="S32" s="83"/>
      <x:c r="T32" s="83"/>
      <x:c r="U32" s="83"/>
      <x:c r="V32" s="83"/>
      <x:c r="W32" s="83"/>
      <x:c r="X32" s="83"/>
      <x:c r="Y32" s="83"/>
      <x:c r="Z32" s="83"/>
    </x:row>
    <x:row r="33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83"/>
      <x:c r="R33" s="83"/>
      <x:c r="S33" s="83"/>
      <x:c r="T33" s="83"/>
      <x:c r="U33" s="83"/>
      <x:c r="V33" s="83"/>
      <x:c r="W33" s="83"/>
      <x:c r="X33" s="83"/>
      <x:c r="Y33" s="83"/>
      <x:c r="Z33" s="83"/>
    </x:row>
    <x:row r="34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83"/>
      <x:c r="R34" s="83"/>
      <x:c r="S34" s="83"/>
      <x:c r="T34" s="83"/>
      <x:c r="U34" s="83"/>
      <x:c r="V34" s="83"/>
      <x:c r="W34" s="83"/>
      <x:c r="X34" s="83"/>
      <x:c r="Y34" s="83"/>
      <x:c r="Z34" s="83"/>
    </x:row>
    <x:row r="35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83"/>
      <x:c r="R35" s="83"/>
      <x:c r="S35" s="83"/>
      <x:c r="T35" s="83"/>
      <x:c r="U35" s="83"/>
      <x:c r="V35" s="83"/>
      <x:c r="W35" s="83"/>
      <x:c r="X35" s="83"/>
      <x:c r="Y35" s="83"/>
      <x:c r="Z35" s="83"/>
    </x:row>
    <x:row r="36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</x:row>
    <x:row r="37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</x:row>
    <x:row r="38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83"/>
      <x:c r="R38" s="83"/>
      <x:c r="S38" s="83"/>
      <x:c r="T38" s="83"/>
      <x:c r="U38" s="83"/>
      <x:c r="V38" s="83"/>
      <x:c r="W38" s="83"/>
      <x:c r="X38" s="83"/>
      <x:c r="Y38" s="83"/>
      <x:c r="Z38" s="83"/>
    </x:row>
    <x:row r="39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83"/>
      <x:c r="R39" s="83"/>
      <x:c r="S39" s="83"/>
      <x:c r="T39" s="83"/>
      <x:c r="U39" s="83"/>
      <x:c r="V39" s="83"/>
      <x:c r="W39" s="83"/>
      <x:c r="X39" s="83"/>
      <x:c r="Y39" s="83"/>
      <x:c r="Z39" s="83"/>
    </x:row>
    <x:row r="40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83"/>
      <x:c r="R40" s="83"/>
      <x:c r="S40" s="83"/>
      <x:c r="T40" s="83"/>
      <x:c r="U40" s="83"/>
      <x:c r="V40" s="83"/>
      <x:c r="W40" s="83"/>
      <x:c r="X40" s="83"/>
      <x:c r="Y40" s="83"/>
      <x:c r="Z40" s="83"/>
    </x:row>
    <x:row r="41">
      <x:c r="A41" s="83"/>
      <x:c r="B41" s="83"/>
      <x:c r="C41" s="83"/>
      <x:c r="D41" s="83"/>
      <x:c r="E41" s="83"/>
      <x:c r="F41" s="83"/>
      <x:c r="G41" s="83"/>
      <x:c r="H41" s="83"/>
      <x:c r="I41" s="83"/>
      <x:c r="J41" s="83"/>
      <x:c r="K41" s="83"/>
      <x:c r="L41" s="83"/>
      <x:c r="M41" s="83"/>
      <x:c r="N41" s="83"/>
      <x:c r="O41" s="83"/>
      <x:c r="P41" s="83"/>
      <x:c r="Q41" s="83"/>
      <x:c r="R41" s="83"/>
      <x:c r="S41" s="83"/>
      <x:c r="T41" s="83"/>
      <x:c r="U41" s="83"/>
      <x:c r="V41" s="83"/>
      <x:c r="W41" s="83"/>
      <x:c r="X41" s="83"/>
      <x:c r="Y41" s="83"/>
      <x:c r="Z41" s="83"/>
    </x:row>
    <x:row r="42">
      <x:c r="A42" s="83"/>
      <x:c r="B42" s="83"/>
      <x:c r="C42" s="83"/>
      <x:c r="D42" s="83"/>
      <x:c r="E42" s="83"/>
      <x:c r="F42" s="83"/>
      <x:c r="G42" s="83"/>
      <x:c r="H42" s="83"/>
      <x:c r="I42" s="83"/>
      <x:c r="J42" s="83"/>
      <x:c r="K42" s="83"/>
      <x:c r="L42" s="83"/>
      <x:c r="M42" s="83"/>
      <x:c r="N42" s="83"/>
      <x:c r="O42" s="83"/>
      <x:c r="P42" s="83"/>
      <x:c r="Q42" s="83"/>
      <x:c r="R42" s="83"/>
      <x:c r="S42" s="83"/>
      <x:c r="T42" s="83"/>
      <x:c r="U42" s="83"/>
      <x:c r="V42" s="83"/>
      <x:c r="W42" s="83"/>
      <x:c r="X42" s="83"/>
      <x:c r="Y42" s="83"/>
      <x:c r="Z42" s="83"/>
    </x:row>
    <x:row r="43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83"/>
      <x:c r="R43" s="83"/>
      <x:c r="S43" s="83"/>
      <x:c r="T43" s="83"/>
      <x:c r="U43" s="83"/>
      <x:c r="V43" s="83"/>
      <x:c r="W43" s="83"/>
      <x:c r="X43" s="83"/>
      <x:c r="Y43" s="83"/>
      <x:c r="Z43" s="83"/>
    </x:row>
    <x:row r="44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83"/>
      <x:c r="S44" s="83"/>
      <x:c r="T44" s="83"/>
      <x:c r="U44" s="83"/>
      <x:c r="V44" s="83"/>
      <x:c r="W44" s="83"/>
      <x:c r="X44" s="83"/>
      <x:c r="Y44" s="83"/>
      <x:c r="Z44" s="83"/>
    </x:row>
    <x:row r="45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83"/>
      <x:c r="R45" s="83"/>
      <x:c r="S45" s="83"/>
      <x:c r="T45" s="83"/>
      <x:c r="U45" s="83"/>
      <x:c r="V45" s="83"/>
      <x:c r="W45" s="83"/>
      <x:c r="X45" s="83"/>
      <x:c r="Y45" s="83"/>
      <x:c r="Z45" s="83"/>
    </x:row>
    <x:row r="46">
      <x:c r="A46" s="83"/>
      <x:c r="B46" s="83"/>
      <x:c r="C46" s="83"/>
      <x:c r="D46" s="83"/>
      <x:c r="E46" s="83"/>
      <x:c r="F46" s="83"/>
      <x:c r="G46" s="83"/>
      <x:c r="H46" s="83"/>
      <x:c r="I46" s="83"/>
      <x:c r="J46" s="83"/>
      <x:c r="K46" s="83"/>
      <x:c r="L46" s="83"/>
      <x:c r="M46" s="83"/>
      <x:c r="N46" s="83"/>
      <x:c r="O46" s="83"/>
      <x:c r="P46" s="83"/>
      <x:c r="Q46" s="83"/>
      <x:c r="R46" s="83"/>
      <x:c r="S46" s="83"/>
      <x:c r="T46" s="83"/>
      <x:c r="U46" s="83"/>
      <x:c r="V46" s="83"/>
      <x:c r="W46" s="83"/>
      <x:c r="X46" s="83"/>
      <x:c r="Y46" s="83"/>
      <x:c r="Z46" s="83"/>
    </x:row>
    <x:row r="47">
      <x:c r="A47" s="83"/>
      <x:c r="B47" s="83"/>
      <x:c r="C47" s="83"/>
      <x:c r="D47" s="83"/>
      <x:c r="E47" s="83"/>
      <x:c r="F47" s="83"/>
      <x:c r="G47" s="83"/>
      <x:c r="H47" s="83"/>
      <x:c r="I47" s="83"/>
      <x:c r="J47" s="83"/>
      <x:c r="K47" s="83"/>
      <x:c r="L47" s="83"/>
      <x:c r="M47" s="83"/>
      <x:c r="N47" s="83"/>
      <x:c r="O47" s="83"/>
      <x:c r="P47" s="83"/>
      <x:c r="Q47" s="83"/>
      <x:c r="R47" s="83"/>
      <x:c r="S47" s="83"/>
      <x:c r="T47" s="83"/>
      <x:c r="U47" s="83"/>
      <x:c r="V47" s="83"/>
      <x:c r="W47" s="83"/>
      <x:c r="X47" s="83"/>
      <x:c r="Y47" s="83"/>
      <x:c r="Z47" s="83"/>
    </x:row>
    <x:row r="48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83"/>
      <x:c r="R48" s="83"/>
      <x:c r="S48" s="83"/>
      <x:c r="T48" s="83"/>
      <x:c r="U48" s="83"/>
      <x:c r="V48" s="83"/>
      <x:c r="W48" s="83"/>
      <x:c r="X48" s="83"/>
      <x:c r="Y48" s="83"/>
      <x:c r="Z48" s="83"/>
    </x:row>
    <x:row r="49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83"/>
      <x:c r="R49" s="83"/>
      <x:c r="S49" s="83"/>
      <x:c r="T49" s="83"/>
      <x:c r="U49" s="83"/>
      <x:c r="V49" s="83"/>
      <x:c r="W49" s="83"/>
      <x:c r="X49" s="83"/>
      <x:c r="Y49" s="83"/>
      <x:c r="Z49" s="83"/>
    </x:row>
    <x:row r="50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83"/>
      <x:c r="R50" s="83"/>
      <x:c r="S50" s="83"/>
      <x:c r="T50" s="83"/>
      <x:c r="U50" s="83"/>
      <x:c r="V50" s="83"/>
      <x:c r="W50" s="83"/>
      <x:c r="X50" s="83"/>
      <x:c r="Y50" s="83"/>
      <x:c r="Z50" s="83"/>
    </x:row>
    <x:row r="51">
      <x:c r="A51" s="83"/>
      <x:c r="B51" s="83"/>
      <x:c r="C51" s="83"/>
      <x:c r="D51" s="83"/>
      <x:c r="E51" s="83"/>
      <x:c r="F51" s="83"/>
      <x:c r="G51" s="83"/>
      <x:c r="H51" s="83"/>
      <x:c r="I51" s="83"/>
      <x:c r="J51" s="83"/>
      <x:c r="K51" s="83"/>
      <x:c r="L51" s="83"/>
      <x:c r="M51" s="83"/>
      <x:c r="N51" s="83"/>
      <x:c r="O51" s="83"/>
      <x:c r="P51" s="83"/>
      <x:c r="Q51" s="83"/>
      <x:c r="R51" s="83"/>
      <x:c r="S51" s="83"/>
      <x:c r="T51" s="83"/>
      <x:c r="U51" s="83"/>
      <x:c r="V51" s="83"/>
      <x:c r="W51" s="83"/>
      <x:c r="X51" s="83"/>
      <x:c r="Y51" s="83"/>
      <x:c r="Z51" s="83"/>
    </x:row>
    <x:row r="52">
      <x:c r="A52" s="83"/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3"/>
      <x:c r="Q52" s="83"/>
      <x:c r="R52" s="83"/>
      <x:c r="S52" s="83"/>
      <x:c r="T52" s="83"/>
      <x:c r="U52" s="83"/>
      <x:c r="V52" s="83"/>
      <x:c r="W52" s="83"/>
      <x:c r="X52" s="83"/>
      <x:c r="Y52" s="83"/>
      <x:c r="Z52" s="83"/>
    </x:row>
    <x:row r="53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83"/>
      <x:c r="S53" s="83"/>
      <x:c r="T53" s="83"/>
      <x:c r="U53" s="83"/>
      <x:c r="V53" s="83"/>
      <x:c r="W53" s="83"/>
      <x:c r="X53" s="83"/>
      <x:c r="Y53" s="83"/>
      <x:c r="Z53" s="83"/>
    </x:row>
    <x:row r="54">
      <x:c r="A54" s="83"/>
      <x:c r="B54" s="83"/>
      <x:c r="C54" s="83"/>
      <x:c r="D54" s="83"/>
      <x:c r="E54" s="83"/>
      <x:c r="F54" s="83"/>
      <x:c r="G54" s="83"/>
      <x:c r="H54" s="83"/>
      <x:c r="I54" s="83"/>
      <x:c r="J54" s="83"/>
      <x:c r="K54" s="83"/>
      <x:c r="L54" s="83"/>
      <x:c r="M54" s="83"/>
      <x:c r="N54" s="83"/>
      <x:c r="O54" s="83"/>
      <x:c r="P54" s="83"/>
      <x:c r="Q54" s="83"/>
      <x:c r="R54" s="83"/>
      <x:c r="S54" s="83"/>
      <x:c r="T54" s="83"/>
      <x:c r="U54" s="83"/>
      <x:c r="V54" s="83"/>
      <x:c r="W54" s="83"/>
      <x:c r="X54" s="83"/>
      <x:c r="Y54" s="83"/>
      <x:c r="Z54" s="83"/>
    </x:row>
    <x:row r="55">
      <x:c r="A55" s="83"/>
      <x:c r="B55" s="83"/>
      <x:c r="C55" s="83"/>
      <x:c r="D55" s="83"/>
      <x:c r="E55" s="83"/>
      <x:c r="F55" s="83"/>
      <x:c r="G55" s="83"/>
      <x:c r="H55" s="83"/>
      <x:c r="I55" s="83"/>
      <x:c r="J55" s="83"/>
      <x:c r="K55" s="83"/>
      <x:c r="L55" s="83"/>
      <x:c r="M55" s="83"/>
      <x:c r="N55" s="83"/>
      <x:c r="O55" s="83"/>
      <x:c r="P55" s="83"/>
      <x:c r="Q55" s="83"/>
      <x:c r="R55" s="83"/>
      <x:c r="S55" s="83"/>
      <x:c r="T55" s="83"/>
      <x:c r="U55" s="83"/>
      <x:c r="V55" s="83"/>
      <x:c r="W55" s="83"/>
      <x:c r="X55" s="83"/>
      <x:c r="Y55" s="83"/>
      <x:c r="Z55" s="83"/>
    </x:row>
    <x:row r="56">
      <x:c r="A56" s="83"/>
      <x:c r="B56" s="83"/>
      <x:c r="C56" s="83"/>
      <x:c r="D56" s="83"/>
      <x:c r="E56" s="83"/>
      <x:c r="F56" s="83"/>
      <x:c r="G56" s="83"/>
      <x:c r="H56" s="83"/>
      <x:c r="I56" s="83"/>
      <x:c r="J56" s="83"/>
      <x:c r="K56" s="83"/>
      <x:c r="L56" s="83"/>
      <x:c r="M56" s="83"/>
      <x:c r="N56" s="83"/>
      <x:c r="O56" s="83"/>
      <x:c r="P56" s="83"/>
      <x:c r="Q56" s="83"/>
      <x:c r="R56" s="83"/>
      <x:c r="S56" s="83"/>
      <x:c r="T56" s="83"/>
      <x:c r="U56" s="83"/>
      <x:c r="V56" s="83"/>
      <x:c r="W56" s="83"/>
      <x:c r="X56" s="83"/>
      <x:c r="Y56" s="83"/>
      <x:c r="Z56" s="83"/>
    </x:row>
    <x:row r="57">
      <x:c r="A57" s="83"/>
      <x:c r="B57" s="83"/>
      <x:c r="C57" s="83"/>
      <x:c r="D57" s="83"/>
      <x:c r="E57" s="83"/>
      <x:c r="F57" s="83"/>
      <x:c r="G57" s="83"/>
      <x:c r="H57" s="83"/>
      <x:c r="I57" s="83"/>
      <x:c r="J57" s="83"/>
      <x:c r="K57" s="83"/>
      <x:c r="L57" s="83"/>
      <x:c r="M57" s="83"/>
      <x:c r="N57" s="83"/>
      <x:c r="O57" s="83"/>
      <x:c r="P57" s="83"/>
      <x:c r="Q57" s="83"/>
      <x:c r="R57" s="83"/>
      <x:c r="S57" s="83"/>
      <x:c r="T57" s="83"/>
      <x:c r="U57" s="83"/>
      <x:c r="V57" s="83"/>
      <x:c r="W57" s="83"/>
      <x:c r="X57" s="83"/>
      <x:c r="Y57" s="83"/>
      <x:c r="Z57" s="83"/>
    </x:row>
    <x:row r="58">
      <x:c r="A58" s="83"/>
      <x:c r="B58" s="83"/>
      <x:c r="C58" s="83"/>
      <x:c r="D58" s="83"/>
      <x:c r="E58" s="83"/>
      <x:c r="F58" s="83"/>
      <x:c r="G58" s="83"/>
      <x:c r="H58" s="83"/>
      <x:c r="I58" s="83"/>
      <x:c r="J58" s="83"/>
      <x:c r="K58" s="83"/>
      <x:c r="L58" s="83"/>
      <x:c r="M58" s="83"/>
      <x:c r="N58" s="83"/>
      <x:c r="O58" s="83"/>
      <x:c r="P58" s="83"/>
      <x:c r="Q58" s="83"/>
      <x:c r="R58" s="83"/>
      <x:c r="S58" s="83"/>
      <x:c r="T58" s="83"/>
      <x:c r="U58" s="83"/>
      <x:c r="V58" s="83"/>
      <x:c r="W58" s="83"/>
      <x:c r="X58" s="83"/>
      <x:c r="Y58" s="83"/>
      <x:c r="Z58" s="83"/>
    </x:row>
    <x:row r="59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</x:row>
    <x:row r="60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</x:row>
    <x:row r="6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83"/>
      <x:c r="R61" s="83"/>
      <x:c r="S61" s="83"/>
      <x:c r="T61" s="83"/>
      <x:c r="U61" s="83"/>
      <x:c r="V61" s="83"/>
      <x:c r="W61" s="83"/>
      <x:c r="X61" s="83"/>
      <x:c r="Y61" s="83"/>
      <x:c r="Z61" s="83"/>
    </x:row>
    <x:row r="62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83"/>
      <x:c r="S62" s="83"/>
      <x:c r="T62" s="83"/>
      <x:c r="U62" s="83"/>
      <x:c r="V62" s="83"/>
      <x:c r="W62" s="83"/>
      <x:c r="X62" s="83"/>
      <x:c r="Y62" s="83"/>
      <x:c r="Z62" s="83"/>
    </x:row>
    <x:row r="63">
      <x:c r="A63" s="83"/>
      <x:c r="B63" s="83"/>
      <x:c r="C63" s="83"/>
      <x:c r="D63" s="83"/>
      <x:c r="E63" s="83"/>
      <x:c r="F63" s="83"/>
      <x:c r="G63" s="83"/>
      <x:c r="H63" s="83"/>
      <x:c r="I63" s="83"/>
      <x:c r="J63" s="83"/>
      <x:c r="K63" s="83"/>
      <x:c r="L63" s="83"/>
      <x:c r="M63" s="83"/>
      <x:c r="N63" s="83"/>
      <x:c r="O63" s="83"/>
      <x:c r="P63" s="83"/>
      <x:c r="Q63" s="83"/>
      <x:c r="R63" s="83"/>
      <x:c r="S63" s="83"/>
      <x:c r="T63" s="83"/>
      <x:c r="U63" s="83"/>
      <x:c r="V63" s="83"/>
      <x:c r="W63" s="83"/>
      <x:c r="X63" s="83"/>
      <x:c r="Y63" s="83"/>
      <x:c r="Z63" s="83"/>
    </x:row>
    <x:row r="64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83"/>
      <x:c r="R64" s="83"/>
      <x:c r="S64" s="83"/>
      <x:c r="T64" s="83"/>
      <x:c r="U64" s="83"/>
      <x:c r="V64" s="83"/>
      <x:c r="W64" s="83"/>
      <x:c r="X64" s="83"/>
      <x:c r="Y64" s="83"/>
      <x:c r="Z64" s="83"/>
    </x:row>
    <x:row r="65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83"/>
      <x:c r="R65" s="83"/>
      <x:c r="S65" s="83"/>
      <x:c r="T65" s="83"/>
      <x:c r="U65" s="83"/>
      <x:c r="V65" s="83"/>
      <x:c r="W65" s="83"/>
      <x:c r="X65" s="83"/>
      <x:c r="Y65" s="83"/>
      <x:c r="Z65" s="83"/>
    </x:row>
    <x:row r="66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83"/>
      <x:c r="R66" s="83"/>
      <x:c r="S66" s="83"/>
      <x:c r="T66" s="83"/>
      <x:c r="U66" s="83"/>
      <x:c r="V66" s="83"/>
      <x:c r="W66" s="83"/>
      <x:c r="X66" s="83"/>
      <x:c r="Y66" s="83"/>
      <x:c r="Z66" s="83"/>
    </x:row>
    <x:row r="67">
      <x:c r="A67" s="83"/>
      <x:c r="B67" s="83"/>
      <x:c r="C67" s="83"/>
      <x:c r="D67" s="83"/>
      <x:c r="E67" s="83"/>
      <x:c r="F67" s="83"/>
      <x:c r="G67" s="83"/>
      <x:c r="H67" s="83"/>
      <x:c r="I67" s="83"/>
      <x:c r="J67" s="83"/>
      <x:c r="K67" s="83"/>
      <x:c r="L67" s="83"/>
      <x:c r="M67" s="83"/>
      <x:c r="N67" s="83"/>
      <x:c r="O67" s="83"/>
      <x:c r="P67" s="83"/>
      <x:c r="Q67" s="83"/>
      <x:c r="R67" s="83"/>
      <x:c r="S67" s="83"/>
      <x:c r="T67" s="83"/>
      <x:c r="U67" s="83"/>
      <x:c r="V67" s="83"/>
      <x:c r="W67" s="83"/>
      <x:c r="X67" s="83"/>
      <x:c r="Y67" s="83"/>
      <x:c r="Z67" s="83"/>
    </x:row>
    <x:row r="68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83"/>
      <x:c r="S68" s="83"/>
      <x:c r="T68" s="83"/>
      <x:c r="U68" s="83"/>
      <x:c r="V68" s="83"/>
      <x:c r="W68" s="83"/>
      <x:c r="X68" s="83"/>
      <x:c r="Y68" s="83"/>
      <x:c r="Z68" s="83"/>
    </x:row>
    <x:row r="69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83"/>
      <x:c r="R69" s="83"/>
      <x:c r="S69" s="83"/>
      <x:c r="T69" s="83"/>
      <x:c r="U69" s="83"/>
      <x:c r="V69" s="83"/>
      <x:c r="W69" s="83"/>
      <x:c r="X69" s="83"/>
      <x:c r="Y69" s="83"/>
      <x:c r="Z69" s="83"/>
    </x:row>
    <x:row r="70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83"/>
      <x:c r="R70" s="83"/>
      <x:c r="S70" s="83"/>
      <x:c r="T70" s="83"/>
      <x:c r="U70" s="83"/>
      <x:c r="V70" s="83"/>
      <x:c r="W70" s="83"/>
      <x:c r="X70" s="83"/>
      <x:c r="Y70" s="83"/>
      <x:c r="Z70" s="83"/>
    </x:row>
    <x:row r="7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83"/>
      <x:c r="R71" s="83"/>
      <x:c r="S71" s="83"/>
      <x:c r="T71" s="83"/>
      <x:c r="U71" s="83"/>
      <x:c r="V71" s="83"/>
      <x:c r="W71" s="83"/>
      <x:c r="X71" s="83"/>
      <x:c r="Y71" s="83"/>
      <x:c r="Z71" s="83"/>
    </x:row>
    <x:row r="72">
      <x:c r="A72" s="83"/>
      <x:c r="B72" s="83"/>
      <x:c r="C72" s="83"/>
      <x:c r="D72" s="83"/>
      <x:c r="E72" s="83"/>
      <x:c r="F72" s="83"/>
      <x:c r="G72" s="83"/>
      <x:c r="H72" s="83"/>
      <x:c r="I72" s="83"/>
      <x:c r="J72" s="83"/>
      <x:c r="K72" s="83"/>
      <x:c r="L72" s="83"/>
      <x:c r="M72" s="83"/>
      <x:c r="N72" s="83"/>
      <x:c r="O72" s="83"/>
      <x:c r="P72" s="83"/>
      <x:c r="Q72" s="83"/>
      <x:c r="R72" s="83"/>
      <x:c r="S72" s="83"/>
      <x:c r="T72" s="83"/>
      <x:c r="U72" s="83"/>
      <x:c r="V72" s="83"/>
      <x:c r="W72" s="83"/>
      <x:c r="X72" s="83"/>
      <x:c r="Y72" s="83"/>
      <x:c r="Z72" s="83"/>
    </x:row>
    <x:row r="73">
      <x:c r="A73" s="83"/>
      <x:c r="B73" s="83"/>
      <x:c r="C73" s="83"/>
      <x:c r="D73" s="83"/>
      <x:c r="E73" s="83"/>
      <x:c r="F73" s="83"/>
      <x:c r="G73" s="83"/>
      <x:c r="H73" s="83"/>
      <x:c r="I73" s="83"/>
      <x:c r="J73" s="83"/>
      <x:c r="K73" s="83"/>
      <x:c r="L73" s="83"/>
      <x:c r="M73" s="83"/>
      <x:c r="N73" s="83"/>
      <x:c r="O73" s="83"/>
      <x:c r="P73" s="83"/>
      <x:c r="Q73" s="83"/>
      <x:c r="R73" s="83"/>
      <x:c r="S73" s="83"/>
      <x:c r="T73" s="83"/>
      <x:c r="U73" s="83"/>
      <x:c r="V73" s="83"/>
      <x:c r="W73" s="83"/>
      <x:c r="X73" s="83"/>
      <x:c r="Y73" s="83"/>
      <x:c r="Z73" s="83"/>
    </x:row>
    <x:row r="74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83"/>
      <x:c r="S74" s="83"/>
      <x:c r="T74" s="83"/>
      <x:c r="U74" s="83"/>
      <x:c r="V74" s="83"/>
      <x:c r="W74" s="83"/>
      <x:c r="X74" s="83"/>
      <x:c r="Y74" s="83"/>
      <x:c r="Z74" s="83"/>
    </x:row>
    <x:row r="75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83"/>
      <x:c r="R75" s="83"/>
      <x:c r="S75" s="83"/>
      <x:c r="T75" s="83"/>
      <x:c r="U75" s="83"/>
      <x:c r="V75" s="83"/>
      <x:c r="W75" s="83"/>
      <x:c r="X75" s="83"/>
      <x:c r="Y75" s="83"/>
      <x:c r="Z75" s="83"/>
    </x:row>
    <x:row r="76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83"/>
      <x:c r="R76" s="83"/>
      <x:c r="S76" s="83"/>
      <x:c r="T76" s="83"/>
      <x:c r="U76" s="83"/>
      <x:c r="V76" s="83"/>
      <x:c r="W76" s="83"/>
      <x:c r="X76" s="83"/>
      <x:c r="Y76" s="83"/>
      <x:c r="Z76" s="83"/>
    </x:row>
    <x:row r="77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83"/>
      <x:c r="S77" s="83"/>
      <x:c r="T77" s="83"/>
      <x:c r="U77" s="83"/>
      <x:c r="V77" s="83"/>
      <x:c r="W77" s="83"/>
      <x:c r="X77" s="83"/>
      <x:c r="Y77" s="83"/>
      <x:c r="Z77" s="83"/>
    </x:row>
    <x:row r="78">
      <x:c r="A78" s="83"/>
      <x:c r="B78" s="83"/>
      <x:c r="C78" s="83"/>
      <x:c r="D78" s="83"/>
      <x:c r="E78" s="83"/>
      <x:c r="F78" s="83"/>
      <x:c r="G78" s="83"/>
      <x:c r="H78" s="83"/>
      <x:c r="I78" s="83"/>
      <x:c r="J78" s="83"/>
      <x:c r="K78" s="83"/>
      <x:c r="L78" s="83"/>
      <x:c r="M78" s="83"/>
      <x:c r="N78" s="83"/>
      <x:c r="O78" s="83"/>
      <x:c r="P78" s="83"/>
      <x:c r="Q78" s="83"/>
      <x:c r="R78" s="83"/>
      <x:c r="S78" s="83"/>
      <x:c r="T78" s="83"/>
      <x:c r="U78" s="83"/>
      <x:c r="V78" s="83"/>
      <x:c r="W78" s="83"/>
      <x:c r="X78" s="83"/>
      <x:c r="Y78" s="83"/>
      <x:c r="Z78" s="83"/>
    </x:row>
    <x:row r="79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83"/>
      <x:c r="R79" s="83"/>
      <x:c r="S79" s="83"/>
      <x:c r="T79" s="83"/>
      <x:c r="U79" s="83"/>
      <x:c r="V79" s="83"/>
      <x:c r="W79" s="83"/>
      <x:c r="X79" s="83"/>
      <x:c r="Y79" s="83"/>
      <x:c r="Z79" s="83"/>
    </x:row>
    <x:row r="80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83"/>
      <x:c r="R80" s="83"/>
      <x:c r="S80" s="83"/>
      <x:c r="T80" s="83"/>
      <x:c r="U80" s="83"/>
      <x:c r="V80" s="83"/>
      <x:c r="W80" s="83"/>
      <x:c r="X80" s="83"/>
      <x:c r="Y80" s="83"/>
      <x:c r="Z80" s="83"/>
    </x:row>
    <x:row r="8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83"/>
      <x:c r="R81" s="83"/>
      <x:c r="S81" s="83"/>
      <x:c r="T81" s="83"/>
      <x:c r="U81" s="83"/>
      <x:c r="V81" s="83"/>
      <x:c r="W81" s="83"/>
      <x:c r="X81" s="83"/>
      <x:c r="Y81" s="83"/>
      <x:c r="Z81" s="83"/>
    </x:row>
    <x:row r="82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</x:row>
    <x:row r="83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</x:row>
    <x:row r="84">
      <x:c r="A84" s="83"/>
      <x:c r="B84" s="83"/>
      <x:c r="C84" s="83"/>
      <x:c r="D84" s="83"/>
      <x:c r="E84" s="83"/>
      <x:c r="F84" s="83"/>
      <x:c r="G84" s="83"/>
      <x:c r="H84" s="83"/>
      <x:c r="I84" s="83"/>
      <x:c r="J84" s="83"/>
      <x:c r="K84" s="83"/>
      <x:c r="L84" s="83"/>
      <x:c r="M84" s="83"/>
      <x:c r="N84" s="83"/>
      <x:c r="O84" s="83"/>
      <x:c r="P84" s="83"/>
      <x:c r="Q84" s="83"/>
      <x:c r="R84" s="83"/>
      <x:c r="S84" s="83"/>
      <x:c r="T84" s="83"/>
      <x:c r="U84" s="83"/>
      <x:c r="V84" s="83"/>
      <x:c r="W84" s="83"/>
      <x:c r="X84" s="83"/>
      <x:c r="Y84" s="83"/>
      <x:c r="Z84" s="83"/>
    </x:row>
    <x:row r="85">
      <x:c r="A85" s="83"/>
      <x:c r="B85" s="83"/>
      <x:c r="C85" s="83"/>
      <x:c r="D85" s="83"/>
      <x:c r="E85" s="83"/>
      <x:c r="F85" s="83"/>
      <x:c r="G85" s="83"/>
      <x:c r="H85" s="83"/>
      <x:c r="I85" s="83"/>
      <x:c r="J85" s="83"/>
      <x:c r="K85" s="83"/>
      <x:c r="L85" s="83"/>
      <x:c r="M85" s="83"/>
      <x:c r="N85" s="83"/>
      <x:c r="O85" s="83"/>
      <x:c r="P85" s="83"/>
      <x:c r="Q85" s="83"/>
      <x:c r="R85" s="83"/>
      <x:c r="S85" s="83"/>
      <x:c r="T85" s="83"/>
      <x:c r="U85" s="83"/>
      <x:c r="V85" s="83"/>
      <x:c r="W85" s="83"/>
      <x:c r="X85" s="83"/>
      <x:c r="Y85" s="83"/>
      <x:c r="Z85" s="83"/>
    </x:row>
    <x:row r="86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</x:row>
    <x:row r="87">
      <x:c r="A87" s="83"/>
      <x:c r="B87" s="83"/>
      <x:c r="C87" s="83"/>
      <x:c r="D87" s="83"/>
      <x:c r="E87" s="83"/>
      <x:c r="F87" s="83"/>
      <x:c r="G87" s="83"/>
      <x:c r="H87" s="83"/>
      <x:c r="I87" s="83"/>
      <x:c r="J87" s="83"/>
      <x:c r="K87" s="83"/>
      <x:c r="L87" s="83"/>
      <x:c r="M87" s="83"/>
      <x:c r="N87" s="83"/>
      <x:c r="O87" s="83"/>
      <x:c r="P87" s="83"/>
      <x:c r="Q87" s="83"/>
      <x:c r="R87" s="83"/>
      <x:c r="S87" s="83"/>
      <x:c r="T87" s="83"/>
      <x:c r="U87" s="83"/>
      <x:c r="V87" s="83"/>
      <x:c r="W87" s="83"/>
      <x:c r="X87" s="83"/>
      <x:c r="Y87" s="83"/>
      <x:c r="Z87" s="83"/>
    </x:row>
    <x:row r="88">
      <x:c r="A88" s="83"/>
      <x:c r="B88" s="83"/>
      <x:c r="C88" s="83"/>
      <x:c r="D88" s="83"/>
      <x:c r="E88" s="83"/>
      <x:c r="F88" s="83"/>
      <x:c r="G88" s="83"/>
      <x:c r="H88" s="83"/>
      <x:c r="I88" s="83"/>
      <x:c r="J88" s="83"/>
      <x:c r="K88" s="83"/>
      <x:c r="L88" s="83"/>
      <x:c r="M88" s="83"/>
      <x:c r="N88" s="83"/>
      <x:c r="O88" s="83"/>
      <x:c r="P88" s="83"/>
      <x:c r="Q88" s="83"/>
      <x:c r="R88" s="83"/>
      <x:c r="S88" s="83"/>
      <x:c r="T88" s="83"/>
      <x:c r="U88" s="83"/>
      <x:c r="V88" s="83"/>
      <x:c r="W88" s="83"/>
      <x:c r="X88" s="83"/>
      <x:c r="Y88" s="83"/>
      <x:c r="Z88" s="83"/>
    </x:row>
    <x:row r="89">
      <x:c r="A89" s="83"/>
      <x:c r="B89" s="83"/>
      <x:c r="C89" s="83"/>
      <x:c r="D89" s="83"/>
      <x:c r="E89" s="83"/>
      <x:c r="F89" s="83"/>
      <x:c r="G89" s="83"/>
      <x:c r="H89" s="83"/>
      <x:c r="I89" s="83"/>
      <x:c r="J89" s="83"/>
      <x:c r="K89" s="83"/>
      <x:c r="L89" s="83"/>
      <x:c r="M89" s="83"/>
      <x:c r="N89" s="83"/>
      <x:c r="O89" s="83"/>
      <x:c r="P89" s="83"/>
      <x:c r="Q89" s="83"/>
      <x:c r="R89" s="83"/>
      <x:c r="S89" s="83"/>
      <x:c r="T89" s="83"/>
      <x:c r="U89" s="83"/>
      <x:c r="V89" s="83"/>
      <x:c r="W89" s="83"/>
      <x:c r="X89" s="83"/>
      <x:c r="Y89" s="83"/>
      <x:c r="Z89" s="83"/>
    </x:row>
    <x:row r="90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</x:row>
    <x:row r="9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83"/>
      <x:c r="R91" s="83"/>
      <x:c r="S91" s="83"/>
      <x:c r="T91" s="83"/>
      <x:c r="U91" s="83"/>
      <x:c r="V91" s="83"/>
      <x:c r="W91" s="83"/>
      <x:c r="X91" s="83"/>
      <x:c r="Y91" s="83"/>
      <x:c r="Z91" s="83"/>
    </x:row>
    <x:row r="92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</x:row>
    <x:row r="93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</x:row>
    <x:row r="94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</x:row>
    <x:row r="95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</x:row>
    <x:row r="96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</x:row>
    <x:row r="97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</x:row>
    <x:row r="98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</x:row>
    <x:row r="99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</x:row>
    <x:row r="100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</x:row>
    <x:row r="10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</x:row>
    <x:row r="102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</x:row>
    <x:row r="103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</x:row>
    <x:row r="104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</x:row>
    <x:row r="105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</x:row>
    <x:row r="106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</x:row>
    <x:row r="107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</x:row>
    <x:row r="108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</x:row>
    <x:row r="109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</x:row>
    <x:row r="110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</x:row>
    <x:row r="11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</x:row>
    <x:row r="112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</x:row>
    <x:row r="113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</x:row>
    <x:row r="114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</x:row>
    <x:row r="115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</x:row>
    <x:row r="116">
      <x:c r="A116" s="83"/>
      <x:c r="B116" s="83"/>
      <x:c r="C116" s="83"/>
      <x:c r="D116" s="83"/>
      <x:c r="E116" s="83"/>
      <x:c r="F116" s="83"/>
      <x:c r="G116" s="83"/>
      <x:c r="H116" s="83"/>
      <x:c r="I116" s="83"/>
      <x:c r="J116" s="83"/>
      <x:c r="K116" s="83"/>
      <x:c r="L116" s="83"/>
      <x:c r="M116" s="83"/>
      <x:c r="N116" s="83"/>
      <x:c r="O116" s="83"/>
      <x:c r="P116" s="83"/>
      <x:c r="Q116" s="83"/>
      <x:c r="R116" s="83"/>
      <x:c r="S116" s="83"/>
      <x:c r="T116" s="83"/>
      <x:c r="U116" s="83"/>
      <x:c r="V116" s="83"/>
      <x:c r="W116" s="83"/>
      <x:c r="X116" s="83"/>
      <x:c r="Y116" s="83"/>
      <x:c r="Z116" s="83"/>
    </x:row>
    <x:row r="117">
      <x:c r="A117" s="83"/>
      <x:c r="B117" s="83"/>
      <x:c r="C117" s="83"/>
      <x:c r="D117" s="83"/>
      <x:c r="E117" s="83"/>
      <x:c r="F117" s="83"/>
      <x:c r="G117" s="83"/>
      <x:c r="H117" s="83"/>
      <x:c r="I117" s="83"/>
      <x:c r="J117" s="83"/>
      <x:c r="K117" s="83"/>
      <x:c r="L117" s="83"/>
      <x:c r="M117" s="83"/>
      <x:c r="N117" s="83"/>
      <x:c r="O117" s="83"/>
      <x:c r="P117" s="83"/>
      <x:c r="Q117" s="83"/>
      <x:c r="R117" s="83"/>
      <x:c r="S117" s="83"/>
      <x:c r="T117" s="83"/>
      <x:c r="U117" s="83"/>
      <x:c r="V117" s="83"/>
      <x:c r="W117" s="83"/>
      <x:c r="X117" s="83"/>
      <x:c r="Y117" s="83"/>
      <x:c r="Z117" s="83"/>
    </x:row>
    <x:row r="118">
      <x:c r="A118" s="83"/>
      <x:c r="B118" s="83"/>
      <x:c r="C118" s="83"/>
      <x:c r="D118" s="83"/>
      <x:c r="E118" s="83"/>
      <x:c r="F118" s="83"/>
      <x:c r="G118" s="83"/>
      <x:c r="H118" s="83"/>
      <x:c r="I118" s="83"/>
      <x:c r="J118" s="83"/>
      <x:c r="K118" s="83"/>
      <x:c r="L118" s="83"/>
      <x:c r="M118" s="83"/>
      <x:c r="N118" s="83"/>
      <x:c r="O118" s="83"/>
      <x:c r="P118" s="83"/>
      <x:c r="Q118" s="83"/>
      <x:c r="R118" s="83"/>
      <x:c r="S118" s="83"/>
      <x:c r="T118" s="83"/>
      <x:c r="U118" s="83"/>
      <x:c r="V118" s="83"/>
      <x:c r="W118" s="83"/>
      <x:c r="X118" s="83"/>
      <x:c r="Y118" s="83"/>
      <x:c r="Z118" s="83"/>
    </x:row>
    <x:row r="119">
      <x:c r="A119" s="83"/>
      <x:c r="B119" s="83"/>
      <x:c r="C119" s="83"/>
      <x:c r="D119" s="83"/>
      <x:c r="E119" s="83"/>
      <x:c r="F119" s="83"/>
      <x:c r="G119" s="83"/>
      <x:c r="H119" s="83"/>
      <x:c r="I119" s="83"/>
      <x:c r="J119" s="83"/>
      <x:c r="K119" s="83"/>
      <x:c r="L119" s="83"/>
      <x:c r="M119" s="83"/>
      <x:c r="N119" s="83"/>
      <x:c r="O119" s="83"/>
      <x:c r="P119" s="83"/>
      <x:c r="Q119" s="83"/>
      <x:c r="R119" s="83"/>
      <x:c r="S119" s="83"/>
      <x:c r="T119" s="83"/>
      <x:c r="U119" s="83"/>
      <x:c r="V119" s="83"/>
      <x:c r="W119" s="83"/>
      <x:c r="X119" s="83"/>
      <x:c r="Y119" s="83"/>
      <x:c r="Z119" s="83"/>
    </x:row>
    <x:row r="120">
      <x:c r="A120" s="83"/>
      <x:c r="B120" s="83"/>
      <x:c r="C120" s="83"/>
      <x:c r="D120" s="83"/>
      <x:c r="E120" s="83"/>
      <x:c r="F120" s="83"/>
      <x:c r="G120" s="83"/>
      <x:c r="H120" s="83"/>
      <x:c r="I120" s="83"/>
      <x:c r="J120" s="83"/>
      <x:c r="K120" s="83"/>
      <x:c r="L120" s="83"/>
      <x:c r="M120" s="83"/>
      <x:c r="N120" s="83"/>
      <x:c r="O120" s="83"/>
      <x:c r="P120" s="83"/>
      <x:c r="Q120" s="83"/>
      <x:c r="R120" s="83"/>
      <x:c r="S120" s="83"/>
      <x:c r="T120" s="83"/>
      <x:c r="U120" s="83"/>
      <x:c r="V120" s="83"/>
      <x:c r="W120" s="83"/>
      <x:c r="X120" s="83"/>
      <x:c r="Y120" s="83"/>
      <x:c r="Z120" s="83"/>
    </x:row>
    <x:row r="121">
      <x:c r="A121" s="83"/>
      <x:c r="B121" s="83"/>
      <x:c r="C121" s="83"/>
      <x:c r="D121" s="83"/>
      <x:c r="E121" s="83"/>
      <x:c r="F121" s="83"/>
      <x:c r="G121" s="83"/>
      <x:c r="H121" s="83"/>
      <x:c r="I121" s="83"/>
      <x:c r="J121" s="83"/>
      <x:c r="K121" s="83"/>
      <x:c r="L121" s="83"/>
      <x:c r="M121" s="83"/>
      <x:c r="N121" s="83"/>
      <x:c r="O121" s="83"/>
      <x:c r="P121" s="83"/>
      <x:c r="Q121" s="83"/>
      <x:c r="R121" s="83"/>
      <x:c r="S121" s="83"/>
      <x:c r="T121" s="83"/>
      <x:c r="U121" s="83"/>
      <x:c r="V121" s="83"/>
      <x:c r="W121" s="83"/>
      <x:c r="X121" s="83"/>
      <x:c r="Y121" s="83"/>
      <x:c r="Z121" s="83"/>
    </x:row>
    <x:row r="122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83"/>
      <x:c r="R122" s="83"/>
      <x:c r="S122" s="83"/>
      <x:c r="T122" s="83"/>
      <x:c r="U122" s="83"/>
      <x:c r="V122" s="83"/>
      <x:c r="W122" s="83"/>
      <x:c r="X122" s="83"/>
      <x:c r="Y122" s="83"/>
      <x:c r="Z122" s="83"/>
    </x:row>
    <x:row r="123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83"/>
      <x:c r="R123" s="83"/>
      <x:c r="S123" s="83"/>
      <x:c r="T123" s="83"/>
      <x:c r="U123" s="83"/>
      <x:c r="V123" s="83"/>
      <x:c r="W123" s="83"/>
      <x:c r="X123" s="83"/>
      <x:c r="Y123" s="83"/>
      <x:c r="Z123" s="83"/>
    </x:row>
    <x:row r="124">
      <x:c r="A124" s="83"/>
      <x:c r="B124" s="83"/>
      <x:c r="C124" s="83"/>
      <x:c r="D124" s="83"/>
      <x:c r="E124" s="83"/>
      <x:c r="F124" s="83"/>
      <x:c r="G124" s="83"/>
      <x:c r="H124" s="83"/>
      <x:c r="I124" s="83"/>
      <x:c r="J124" s="83"/>
      <x:c r="K124" s="83"/>
      <x:c r="L124" s="83"/>
      <x:c r="M124" s="83"/>
      <x:c r="N124" s="83"/>
      <x:c r="O124" s="83"/>
      <x:c r="P124" s="83"/>
      <x:c r="Q124" s="83"/>
      <x:c r="R124" s="83"/>
      <x:c r="S124" s="83"/>
      <x:c r="T124" s="83"/>
      <x:c r="U124" s="83"/>
      <x:c r="V124" s="83"/>
      <x:c r="W124" s="83"/>
      <x:c r="X124" s="83"/>
      <x:c r="Y124" s="83"/>
      <x:c r="Z124" s="83"/>
    </x:row>
    <x:row r="125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83"/>
      <x:c r="R125" s="83"/>
      <x:c r="S125" s="83"/>
      <x:c r="T125" s="83"/>
      <x:c r="U125" s="83"/>
      <x:c r="V125" s="83"/>
      <x:c r="W125" s="83"/>
      <x:c r="X125" s="83"/>
      <x:c r="Y125" s="83"/>
      <x:c r="Z125" s="83"/>
    </x:row>
    <x:row r="126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83"/>
      <x:c r="R126" s="83"/>
      <x:c r="S126" s="83"/>
      <x:c r="T126" s="83"/>
      <x:c r="U126" s="83"/>
      <x:c r="V126" s="83"/>
      <x:c r="W126" s="83"/>
      <x:c r="X126" s="83"/>
      <x:c r="Y126" s="83"/>
      <x:c r="Z126" s="83"/>
    </x:row>
    <x:row r="127">
      <x:c r="A127" s="83"/>
      <x:c r="B127" s="83"/>
      <x:c r="C127" s="83"/>
      <x:c r="D127" s="83"/>
      <x:c r="E127" s="83"/>
      <x:c r="F127" s="83"/>
      <x:c r="G127" s="83"/>
      <x:c r="H127" s="83"/>
      <x:c r="I127" s="83"/>
      <x:c r="J127" s="83"/>
      <x:c r="K127" s="83"/>
      <x:c r="L127" s="83"/>
      <x:c r="M127" s="83"/>
      <x:c r="N127" s="83"/>
      <x:c r="O127" s="83"/>
      <x:c r="P127" s="83"/>
      <x:c r="Q127" s="83"/>
      <x:c r="R127" s="83"/>
      <x:c r="S127" s="83"/>
      <x:c r="T127" s="83"/>
      <x:c r="U127" s="83"/>
      <x:c r="V127" s="83"/>
      <x:c r="W127" s="83"/>
      <x:c r="X127" s="83"/>
      <x:c r="Y127" s="83"/>
      <x:c r="Z127" s="83"/>
    </x:row>
    <x:row r="128">
      <x:c r="A128" s="83"/>
      <x:c r="B128" s="83"/>
      <x:c r="C128" s="83"/>
      <x:c r="D128" s="83"/>
      <x:c r="E128" s="83"/>
      <x:c r="F128" s="83"/>
      <x:c r="G128" s="83"/>
      <x:c r="H128" s="83"/>
      <x:c r="I128" s="83"/>
      <x:c r="J128" s="83"/>
      <x:c r="K128" s="83"/>
      <x:c r="L128" s="83"/>
      <x:c r="M128" s="83"/>
      <x:c r="N128" s="83"/>
      <x:c r="O128" s="83"/>
      <x:c r="P128" s="83"/>
      <x:c r="Q128" s="83"/>
      <x:c r="R128" s="83"/>
      <x:c r="S128" s="83"/>
      <x:c r="T128" s="83"/>
      <x:c r="U128" s="83"/>
      <x:c r="V128" s="83"/>
      <x:c r="W128" s="83"/>
      <x:c r="X128" s="83"/>
      <x:c r="Y128" s="83"/>
      <x:c r="Z128" s="83"/>
    </x:row>
    <x:row r="129">
      <x:c r="A129" s="83"/>
      <x:c r="B129" s="83"/>
      <x:c r="C129" s="83"/>
      <x:c r="D129" s="83"/>
      <x:c r="E129" s="83"/>
      <x:c r="F129" s="83"/>
      <x:c r="G129" s="83"/>
      <x:c r="H129" s="83"/>
      <x:c r="I129" s="83"/>
      <x:c r="J129" s="83"/>
      <x:c r="K129" s="83"/>
      <x:c r="L129" s="83"/>
      <x:c r="M129" s="83"/>
      <x:c r="N129" s="83"/>
      <x:c r="O129" s="83"/>
      <x:c r="P129" s="83"/>
      <x:c r="Q129" s="83"/>
      <x:c r="R129" s="83"/>
      <x:c r="S129" s="83"/>
      <x:c r="T129" s="83"/>
      <x:c r="U129" s="83"/>
      <x:c r="V129" s="83"/>
      <x:c r="W129" s="83"/>
      <x:c r="X129" s="83"/>
      <x:c r="Y129" s="83"/>
      <x:c r="Z129" s="83"/>
    </x:row>
    <x:row r="130">
      <x:c r="A130" s="83"/>
      <x:c r="B130" s="83"/>
      <x:c r="C130" s="83"/>
      <x:c r="D130" s="83"/>
      <x:c r="E130" s="83"/>
      <x:c r="F130" s="83"/>
      <x:c r="G130" s="83"/>
      <x:c r="H130" s="83"/>
      <x:c r="I130" s="83"/>
      <x:c r="J130" s="83"/>
      <x:c r="K130" s="83"/>
      <x:c r="L130" s="83"/>
      <x:c r="M130" s="83"/>
      <x:c r="N130" s="83"/>
      <x:c r="O130" s="83"/>
      <x:c r="P130" s="83"/>
      <x:c r="Q130" s="83"/>
      <x:c r="R130" s="83"/>
      <x:c r="S130" s="83"/>
      <x:c r="T130" s="83"/>
      <x:c r="U130" s="83"/>
      <x:c r="V130" s="83"/>
      <x:c r="W130" s="83"/>
      <x:c r="X130" s="83"/>
      <x:c r="Y130" s="83"/>
      <x:c r="Z130" s="83"/>
    </x:row>
    <x:row r="131">
      <x:c r="A131" s="83"/>
      <x:c r="B131" s="83"/>
      <x:c r="C131" s="83"/>
      <x:c r="D131" s="83"/>
      <x:c r="E131" s="83"/>
      <x:c r="F131" s="83"/>
      <x:c r="G131" s="83"/>
      <x:c r="H131" s="83"/>
      <x:c r="I131" s="83"/>
      <x:c r="J131" s="83"/>
      <x:c r="K131" s="83"/>
      <x:c r="L131" s="83"/>
      <x:c r="M131" s="83"/>
      <x:c r="N131" s="83"/>
      <x:c r="O131" s="83"/>
      <x:c r="P131" s="83"/>
      <x:c r="Q131" s="83"/>
      <x:c r="R131" s="83"/>
      <x:c r="S131" s="83"/>
      <x:c r="T131" s="83"/>
      <x:c r="U131" s="83"/>
      <x:c r="V131" s="83"/>
      <x:c r="W131" s="83"/>
      <x:c r="X131" s="83"/>
      <x:c r="Y131" s="83"/>
      <x:c r="Z131" s="83"/>
    </x:row>
    <x:row r="132">
      <x:c r="A132" s="83"/>
      <x:c r="B132" s="83"/>
      <x:c r="C132" s="83"/>
      <x:c r="D132" s="83"/>
      <x:c r="E132" s="83"/>
      <x:c r="F132" s="83"/>
      <x:c r="G132" s="83"/>
      <x:c r="H132" s="83"/>
      <x:c r="I132" s="83"/>
      <x:c r="J132" s="83"/>
      <x:c r="K132" s="83"/>
      <x:c r="L132" s="83"/>
      <x:c r="M132" s="83"/>
      <x:c r="N132" s="83"/>
      <x:c r="O132" s="83"/>
      <x:c r="P132" s="83"/>
      <x:c r="Q132" s="83"/>
      <x:c r="R132" s="83"/>
      <x:c r="S132" s="83"/>
      <x:c r="T132" s="83"/>
      <x:c r="U132" s="83"/>
      <x:c r="V132" s="83"/>
      <x:c r="W132" s="83"/>
      <x:c r="X132" s="83"/>
      <x:c r="Y132" s="83"/>
      <x:c r="Z132" s="83"/>
    </x:row>
    <x:row r="133">
      <x:c r="A133" s="83"/>
      <x:c r="B133" s="83"/>
      <x:c r="C133" s="83"/>
      <x:c r="D133" s="83"/>
      <x:c r="E133" s="83"/>
      <x:c r="F133" s="83"/>
      <x:c r="G133" s="83"/>
      <x:c r="H133" s="83"/>
      <x:c r="I133" s="83"/>
      <x:c r="J133" s="83"/>
      <x:c r="K133" s="83"/>
      <x:c r="L133" s="83"/>
      <x:c r="M133" s="83"/>
      <x:c r="N133" s="83"/>
      <x:c r="O133" s="83"/>
      <x:c r="P133" s="83"/>
      <x:c r="Q133" s="83"/>
      <x:c r="R133" s="83"/>
      <x:c r="S133" s="83"/>
      <x:c r="T133" s="83"/>
      <x:c r="U133" s="83"/>
      <x:c r="V133" s="83"/>
      <x:c r="W133" s="83"/>
      <x:c r="X133" s="83"/>
      <x:c r="Y133" s="83"/>
      <x:c r="Z133" s="83"/>
    </x:row>
    <x:row r="134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83"/>
      <x:c r="R134" s="83"/>
      <x:c r="S134" s="83"/>
      <x:c r="T134" s="83"/>
      <x:c r="U134" s="83"/>
      <x:c r="V134" s="83"/>
      <x:c r="W134" s="83"/>
      <x:c r="X134" s="83"/>
      <x:c r="Y134" s="83"/>
      <x:c r="Z134" s="83"/>
    </x:row>
    <x:row r="135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83"/>
      <x:c r="R135" s="83"/>
      <x:c r="S135" s="83"/>
      <x:c r="T135" s="83"/>
      <x:c r="U135" s="83"/>
      <x:c r="V135" s="83"/>
      <x:c r="W135" s="83"/>
      <x:c r="X135" s="83"/>
      <x:c r="Y135" s="83"/>
      <x:c r="Z135" s="83"/>
    </x:row>
    <x:row r="136">
      <x:c r="A136" s="83"/>
      <x:c r="B136" s="83"/>
      <x:c r="C136" s="83"/>
      <x:c r="D136" s="83"/>
      <x:c r="E136" s="83"/>
      <x:c r="F136" s="83"/>
      <x:c r="G136" s="83"/>
      <x:c r="H136" s="83"/>
      <x:c r="I136" s="83"/>
      <x:c r="J136" s="83"/>
      <x:c r="K136" s="83"/>
      <x:c r="L136" s="83"/>
      <x:c r="M136" s="83"/>
      <x:c r="N136" s="83"/>
      <x:c r="O136" s="83"/>
      <x:c r="P136" s="83"/>
      <x:c r="Q136" s="83"/>
      <x:c r="R136" s="83"/>
      <x:c r="S136" s="83"/>
      <x:c r="T136" s="83"/>
      <x:c r="U136" s="83"/>
      <x:c r="V136" s="83"/>
      <x:c r="W136" s="83"/>
      <x:c r="X136" s="83"/>
      <x:c r="Y136" s="83"/>
      <x:c r="Z136" s="83"/>
    </x:row>
    <x:row r="137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83"/>
      <x:c r="R137" s="83"/>
      <x:c r="S137" s="83"/>
      <x:c r="T137" s="83"/>
      <x:c r="U137" s="83"/>
      <x:c r="V137" s="83"/>
      <x:c r="W137" s="83"/>
      <x:c r="X137" s="83"/>
      <x:c r="Y137" s="83"/>
      <x:c r="Z137" s="83"/>
    </x:row>
    <x:row r="138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83"/>
      <x:c r="R138" s="83"/>
      <x:c r="S138" s="83"/>
      <x:c r="T138" s="83"/>
      <x:c r="U138" s="83"/>
      <x:c r="V138" s="83"/>
      <x:c r="W138" s="83"/>
      <x:c r="X138" s="83"/>
      <x:c r="Y138" s="83"/>
      <x:c r="Z138" s="83"/>
    </x:row>
    <x:row r="139">
      <x:c r="A139" s="83"/>
      <x:c r="B139" s="83"/>
      <x:c r="C139" s="83"/>
      <x:c r="D139" s="83"/>
      <x:c r="E139" s="83"/>
      <x:c r="F139" s="83"/>
      <x:c r="G139" s="83"/>
      <x:c r="H139" s="83"/>
      <x:c r="I139" s="83"/>
      <x:c r="J139" s="83"/>
      <x:c r="K139" s="83"/>
      <x:c r="L139" s="83"/>
      <x:c r="M139" s="83"/>
      <x:c r="N139" s="83"/>
      <x:c r="O139" s="83"/>
      <x:c r="P139" s="83"/>
      <x:c r="Q139" s="83"/>
      <x:c r="R139" s="83"/>
      <x:c r="S139" s="83"/>
      <x:c r="T139" s="83"/>
      <x:c r="U139" s="83"/>
      <x:c r="V139" s="83"/>
      <x:c r="W139" s="83"/>
      <x:c r="X139" s="83"/>
      <x:c r="Y139" s="83"/>
      <x:c r="Z139" s="83"/>
    </x:row>
    <x:row r="140">
      <x:c r="A140" s="83"/>
      <x:c r="B140" s="83"/>
      <x:c r="C140" s="83"/>
      <x:c r="D140" s="83"/>
      <x:c r="E140" s="83"/>
      <x:c r="F140" s="83"/>
      <x:c r="G140" s="83"/>
      <x:c r="H140" s="83"/>
      <x:c r="I140" s="83"/>
      <x:c r="J140" s="83"/>
      <x:c r="K140" s="83"/>
      <x:c r="L140" s="83"/>
      <x:c r="M140" s="83"/>
      <x:c r="N140" s="83"/>
      <x:c r="O140" s="83"/>
      <x:c r="P140" s="83"/>
      <x:c r="Q140" s="83"/>
      <x:c r="R140" s="83"/>
      <x:c r="S140" s="83"/>
      <x:c r="T140" s="83"/>
      <x:c r="U140" s="83"/>
      <x:c r="V140" s="83"/>
      <x:c r="W140" s="83"/>
      <x:c r="X140" s="83"/>
      <x:c r="Y140" s="83"/>
      <x:c r="Z140" s="83"/>
    </x:row>
    <x:row r="141">
      <x:c r="A141" s="83"/>
      <x:c r="B141" s="83"/>
      <x:c r="C141" s="83"/>
      <x:c r="D141" s="83"/>
      <x:c r="E141" s="83"/>
      <x:c r="F141" s="83"/>
      <x:c r="G141" s="83"/>
      <x:c r="H141" s="83"/>
      <x:c r="I141" s="83"/>
      <x:c r="J141" s="83"/>
      <x:c r="K141" s="83"/>
      <x:c r="L141" s="83"/>
      <x:c r="M141" s="83"/>
      <x:c r="N141" s="83"/>
      <x:c r="O141" s="83"/>
      <x:c r="P141" s="83"/>
      <x:c r="Q141" s="83"/>
      <x:c r="R141" s="83"/>
      <x:c r="S141" s="83"/>
      <x:c r="T141" s="83"/>
      <x:c r="U141" s="83"/>
      <x:c r="V141" s="83"/>
      <x:c r="W141" s="83"/>
      <x:c r="X141" s="83"/>
      <x:c r="Y141" s="83"/>
      <x:c r="Z141" s="83"/>
    </x:row>
    <x:row r="142">
      <x:c r="A142" s="83"/>
      <x:c r="B142" s="83"/>
      <x:c r="C142" s="83"/>
      <x:c r="D142" s="83"/>
      <x:c r="E142" s="83"/>
      <x:c r="F142" s="83"/>
      <x:c r="G142" s="83"/>
      <x:c r="H142" s="83"/>
      <x:c r="I142" s="83"/>
      <x:c r="J142" s="83"/>
      <x:c r="K142" s="83"/>
      <x:c r="L142" s="83"/>
      <x:c r="M142" s="83"/>
      <x:c r="N142" s="83"/>
      <x:c r="O142" s="83"/>
      <x:c r="P142" s="83"/>
      <x:c r="Q142" s="83"/>
      <x:c r="R142" s="83"/>
      <x:c r="S142" s="83"/>
      <x:c r="T142" s="83"/>
      <x:c r="U142" s="83"/>
      <x:c r="V142" s="83"/>
      <x:c r="W142" s="83"/>
      <x:c r="X142" s="83"/>
      <x:c r="Y142" s="83"/>
      <x:c r="Z142" s="83"/>
    </x:row>
    <x:row r="143">
      <x:c r="A143" s="83"/>
      <x:c r="B143" s="83"/>
      <x:c r="C143" s="83"/>
      <x:c r="D143" s="83"/>
      <x:c r="E143" s="83"/>
      <x:c r="F143" s="83"/>
      <x:c r="G143" s="83"/>
      <x:c r="H143" s="83"/>
      <x:c r="I143" s="83"/>
      <x:c r="J143" s="83"/>
      <x:c r="K143" s="83"/>
      <x:c r="L143" s="83"/>
      <x:c r="M143" s="83"/>
      <x:c r="N143" s="83"/>
      <x:c r="O143" s="83"/>
      <x:c r="P143" s="83"/>
      <x:c r="Q143" s="83"/>
      <x:c r="R143" s="83"/>
      <x:c r="S143" s="83"/>
      <x:c r="T143" s="83"/>
      <x:c r="U143" s="83"/>
      <x:c r="V143" s="83"/>
      <x:c r="W143" s="83"/>
      <x:c r="X143" s="83"/>
      <x:c r="Y143" s="83"/>
      <x:c r="Z143" s="83"/>
    </x:row>
    <x:row r="144">
      <x:c r="A144" s="83"/>
      <x:c r="B144" s="83"/>
      <x:c r="C144" s="83"/>
      <x:c r="D144" s="83"/>
      <x:c r="E144" s="83"/>
      <x:c r="F144" s="83"/>
      <x:c r="G144" s="83"/>
      <x:c r="H144" s="83"/>
      <x:c r="I144" s="83"/>
      <x:c r="J144" s="83"/>
      <x:c r="K144" s="83"/>
      <x:c r="L144" s="83"/>
      <x:c r="M144" s="83"/>
      <x:c r="N144" s="83"/>
      <x:c r="O144" s="83"/>
      <x:c r="P144" s="83"/>
      <x:c r="Q144" s="83"/>
      <x:c r="R144" s="83"/>
      <x:c r="S144" s="83"/>
      <x:c r="T144" s="83"/>
      <x:c r="U144" s="83"/>
      <x:c r="V144" s="83"/>
      <x:c r="W144" s="83"/>
      <x:c r="X144" s="83"/>
      <x:c r="Y144" s="83"/>
      <x:c r="Z144" s="83"/>
    </x:row>
    <x:row r="145">
      <x:c r="A145" s="83"/>
      <x:c r="B145" s="83"/>
      <x:c r="C145" s="83"/>
      <x:c r="D145" s="83"/>
      <x:c r="E145" s="83"/>
      <x:c r="F145" s="83"/>
      <x:c r="G145" s="83"/>
      <x:c r="H145" s="83"/>
      <x:c r="I145" s="83"/>
      <x:c r="J145" s="83"/>
      <x:c r="K145" s="83"/>
      <x:c r="L145" s="83"/>
      <x:c r="M145" s="83"/>
      <x:c r="N145" s="83"/>
      <x:c r="O145" s="83"/>
      <x:c r="P145" s="83"/>
      <x:c r="Q145" s="83"/>
      <x:c r="R145" s="83"/>
      <x:c r="S145" s="83"/>
      <x:c r="T145" s="83"/>
      <x:c r="U145" s="83"/>
      <x:c r="V145" s="83"/>
      <x:c r="W145" s="83"/>
      <x:c r="X145" s="83"/>
      <x:c r="Y145" s="83"/>
      <x:c r="Z145" s="83"/>
    </x:row>
    <x:row r="146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83"/>
      <x:c r="R146" s="83"/>
      <x:c r="S146" s="83"/>
      <x:c r="T146" s="83"/>
      <x:c r="U146" s="83"/>
      <x:c r="V146" s="83"/>
      <x:c r="W146" s="83"/>
      <x:c r="X146" s="83"/>
      <x:c r="Y146" s="83"/>
      <x:c r="Z146" s="83"/>
    </x:row>
    <x:row r="147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83"/>
      <x:c r="R147" s="83"/>
      <x:c r="S147" s="83"/>
      <x:c r="T147" s="83"/>
      <x:c r="U147" s="83"/>
      <x:c r="V147" s="83"/>
      <x:c r="W147" s="83"/>
      <x:c r="X147" s="83"/>
      <x:c r="Y147" s="83"/>
      <x:c r="Z147" s="83"/>
    </x:row>
    <x:row r="148">
      <x:c r="A148" s="83"/>
      <x:c r="B148" s="83"/>
      <x:c r="C148" s="83"/>
      <x:c r="D148" s="83"/>
      <x:c r="E148" s="83"/>
      <x:c r="F148" s="83"/>
      <x:c r="G148" s="83"/>
      <x:c r="H148" s="83"/>
      <x:c r="I148" s="83"/>
      <x:c r="J148" s="83"/>
      <x:c r="K148" s="83"/>
      <x:c r="L148" s="83"/>
      <x:c r="M148" s="83"/>
      <x:c r="N148" s="83"/>
      <x:c r="O148" s="83"/>
      <x:c r="P148" s="83"/>
      <x:c r="Q148" s="83"/>
      <x:c r="R148" s="83"/>
      <x:c r="S148" s="83"/>
      <x:c r="T148" s="83"/>
      <x:c r="U148" s="83"/>
      <x:c r="V148" s="83"/>
      <x:c r="W148" s="83"/>
      <x:c r="X148" s="83"/>
      <x:c r="Y148" s="83"/>
      <x:c r="Z148" s="83"/>
    </x:row>
    <x:row r="149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83"/>
      <x:c r="R149" s="83"/>
      <x:c r="S149" s="83"/>
      <x:c r="T149" s="83"/>
      <x:c r="U149" s="83"/>
      <x:c r="V149" s="83"/>
      <x:c r="W149" s="83"/>
      <x:c r="X149" s="83"/>
      <x:c r="Y149" s="83"/>
      <x:c r="Z149" s="83"/>
    </x:row>
    <x:row r="150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83"/>
      <x:c r="R150" s="83"/>
      <x:c r="S150" s="83"/>
      <x:c r="T150" s="83"/>
      <x:c r="U150" s="83"/>
      <x:c r="V150" s="83"/>
      <x:c r="W150" s="83"/>
      <x:c r="X150" s="83"/>
      <x:c r="Y150" s="83"/>
      <x:c r="Z150" s="83"/>
    </x:row>
    <x:row r="151">
      <x:c r="A151" s="83"/>
      <x:c r="B151" s="83"/>
      <x:c r="C151" s="83"/>
      <x:c r="D151" s="83"/>
      <x:c r="E151" s="83"/>
      <x:c r="F151" s="83"/>
      <x:c r="G151" s="83"/>
      <x:c r="H151" s="83"/>
      <x:c r="I151" s="83"/>
      <x:c r="J151" s="83"/>
      <x:c r="K151" s="83"/>
      <x:c r="L151" s="83"/>
      <x:c r="M151" s="83"/>
      <x:c r="N151" s="83"/>
      <x:c r="O151" s="83"/>
      <x:c r="P151" s="83"/>
      <x:c r="Q151" s="83"/>
      <x:c r="R151" s="83"/>
      <x:c r="S151" s="83"/>
      <x:c r="T151" s="83"/>
      <x:c r="U151" s="83"/>
      <x:c r="V151" s="83"/>
      <x:c r="W151" s="83"/>
      <x:c r="X151" s="83"/>
      <x:c r="Y151" s="83"/>
      <x:c r="Z151" s="83"/>
    </x:row>
    <x:row r="152">
      <x:c r="A152" s="83"/>
      <x:c r="B152" s="83"/>
      <x:c r="C152" s="83"/>
      <x:c r="D152" s="83"/>
      <x:c r="E152" s="83"/>
      <x:c r="F152" s="83"/>
      <x:c r="G152" s="83"/>
      <x:c r="H152" s="83"/>
      <x:c r="I152" s="83"/>
      <x:c r="J152" s="83"/>
      <x:c r="K152" s="83"/>
      <x:c r="L152" s="83"/>
      <x:c r="M152" s="83"/>
      <x:c r="N152" s="83"/>
      <x:c r="O152" s="83"/>
      <x:c r="P152" s="83"/>
      <x:c r="Q152" s="83"/>
      <x:c r="R152" s="83"/>
      <x:c r="S152" s="83"/>
      <x:c r="T152" s="83"/>
      <x:c r="U152" s="83"/>
      <x:c r="V152" s="83"/>
      <x:c r="W152" s="83"/>
      <x:c r="X152" s="83"/>
      <x:c r="Y152" s="83"/>
      <x:c r="Z152" s="83"/>
    </x:row>
    <x:row r="153">
      <x:c r="A153" s="83"/>
      <x:c r="B153" s="83"/>
      <x:c r="C153" s="83"/>
      <x:c r="D153" s="83"/>
      <x:c r="E153" s="83"/>
      <x:c r="F153" s="83"/>
      <x:c r="G153" s="83"/>
      <x:c r="H153" s="83"/>
      <x:c r="I153" s="83"/>
      <x:c r="J153" s="83"/>
      <x:c r="K153" s="83"/>
      <x:c r="L153" s="83"/>
      <x:c r="M153" s="83"/>
      <x:c r="N153" s="83"/>
      <x:c r="O153" s="83"/>
      <x:c r="P153" s="83"/>
      <x:c r="Q153" s="83"/>
      <x:c r="R153" s="83"/>
      <x:c r="S153" s="83"/>
      <x:c r="T153" s="83"/>
      <x:c r="U153" s="83"/>
      <x:c r="V153" s="83"/>
      <x:c r="W153" s="83"/>
      <x:c r="X153" s="83"/>
      <x:c r="Y153" s="83"/>
      <x:c r="Z153" s="83"/>
    </x:row>
    <x:row r="154">
      <x:c r="A154" s="83"/>
      <x:c r="B154" s="83"/>
      <x:c r="C154" s="83"/>
      <x:c r="D154" s="83"/>
      <x:c r="E154" s="83"/>
      <x:c r="F154" s="83"/>
      <x:c r="G154" s="83"/>
      <x:c r="H154" s="83"/>
      <x:c r="I154" s="83"/>
      <x:c r="J154" s="83"/>
      <x:c r="K154" s="83"/>
      <x:c r="L154" s="83"/>
      <x:c r="M154" s="83"/>
      <x:c r="N154" s="83"/>
      <x:c r="O154" s="83"/>
      <x:c r="P154" s="83"/>
      <x:c r="Q154" s="83"/>
      <x:c r="R154" s="83"/>
      <x:c r="S154" s="83"/>
      <x:c r="T154" s="83"/>
      <x:c r="U154" s="83"/>
      <x:c r="V154" s="83"/>
      <x:c r="W154" s="83"/>
      <x:c r="X154" s="83"/>
      <x:c r="Y154" s="83"/>
      <x:c r="Z154" s="83"/>
    </x:row>
    <x:row r="155">
      <x:c r="A155" s="83"/>
      <x:c r="B155" s="83"/>
      <x:c r="C155" s="83"/>
      <x:c r="D155" s="83"/>
      <x:c r="E155" s="83"/>
      <x:c r="F155" s="83"/>
      <x:c r="G155" s="83"/>
      <x:c r="H155" s="83"/>
      <x:c r="I155" s="83"/>
      <x:c r="J155" s="83"/>
      <x:c r="K155" s="83"/>
      <x:c r="L155" s="83"/>
      <x:c r="M155" s="83"/>
      <x:c r="N155" s="83"/>
      <x:c r="O155" s="83"/>
      <x:c r="P155" s="83"/>
      <x:c r="Q155" s="83"/>
      <x:c r="R155" s="83"/>
      <x:c r="S155" s="83"/>
      <x:c r="T155" s="83"/>
      <x:c r="U155" s="83"/>
      <x:c r="V155" s="83"/>
      <x:c r="W155" s="83"/>
      <x:c r="X155" s="83"/>
      <x:c r="Y155" s="83"/>
      <x:c r="Z155" s="83"/>
    </x:row>
    <x:row r="156">
      <x:c r="A156" s="83"/>
      <x:c r="B156" s="83"/>
      <x:c r="C156" s="83"/>
      <x:c r="D156" s="83"/>
      <x:c r="E156" s="83"/>
      <x:c r="F156" s="83"/>
      <x:c r="G156" s="83"/>
      <x:c r="H156" s="83"/>
      <x:c r="I156" s="83"/>
      <x:c r="J156" s="83"/>
      <x:c r="K156" s="83"/>
      <x:c r="L156" s="83"/>
      <x:c r="M156" s="83"/>
      <x:c r="N156" s="83"/>
      <x:c r="O156" s="83"/>
      <x:c r="P156" s="83"/>
      <x:c r="Q156" s="83"/>
      <x:c r="R156" s="83"/>
      <x:c r="S156" s="83"/>
      <x:c r="T156" s="83"/>
      <x:c r="U156" s="83"/>
      <x:c r="V156" s="83"/>
      <x:c r="W156" s="83"/>
      <x:c r="X156" s="83"/>
      <x:c r="Y156" s="83"/>
      <x:c r="Z156" s="83"/>
    </x:row>
    <x:row r="157">
      <x:c r="A157" s="83"/>
      <x:c r="B157" s="83"/>
      <x:c r="C157" s="83"/>
      <x:c r="D157" s="83"/>
      <x:c r="E157" s="83"/>
      <x:c r="F157" s="83"/>
      <x:c r="G157" s="83"/>
      <x:c r="H157" s="83"/>
      <x:c r="I157" s="83"/>
      <x:c r="J157" s="83"/>
      <x:c r="K157" s="83"/>
      <x:c r="L157" s="83"/>
      <x:c r="M157" s="83"/>
      <x:c r="N157" s="83"/>
      <x:c r="O157" s="83"/>
      <x:c r="P157" s="83"/>
      <x:c r="Q157" s="83"/>
      <x:c r="R157" s="83"/>
      <x:c r="S157" s="83"/>
      <x:c r="T157" s="83"/>
      <x:c r="U157" s="83"/>
      <x:c r="V157" s="83"/>
      <x:c r="W157" s="83"/>
      <x:c r="X157" s="83"/>
      <x:c r="Y157" s="83"/>
      <x:c r="Z157" s="83"/>
    </x:row>
    <x:row r="158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83"/>
      <x:c r="R158" s="83"/>
      <x:c r="S158" s="83"/>
      <x:c r="T158" s="83"/>
      <x:c r="U158" s="83"/>
      <x:c r="V158" s="83"/>
      <x:c r="W158" s="83"/>
      <x:c r="X158" s="83"/>
      <x:c r="Y158" s="83"/>
      <x:c r="Z158" s="83"/>
    </x:row>
    <x:row r="159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83"/>
      <x:c r="R159" s="83"/>
      <x:c r="S159" s="83"/>
      <x:c r="T159" s="83"/>
      <x:c r="U159" s="83"/>
      <x:c r="V159" s="83"/>
      <x:c r="W159" s="83"/>
      <x:c r="X159" s="83"/>
      <x:c r="Y159" s="83"/>
      <x:c r="Z159" s="83"/>
    </x:row>
    <x:row r="160">
      <x:c r="A160" s="83"/>
      <x:c r="B160" s="83"/>
      <x:c r="C160" s="83"/>
      <x:c r="D160" s="83"/>
      <x:c r="E160" s="83"/>
      <x:c r="F160" s="83"/>
      <x:c r="G160" s="83"/>
      <x:c r="H160" s="83"/>
      <x:c r="I160" s="83"/>
      <x:c r="J160" s="83"/>
      <x:c r="K160" s="83"/>
      <x:c r="L160" s="83"/>
      <x:c r="M160" s="83"/>
      <x:c r="N160" s="83"/>
      <x:c r="O160" s="83"/>
      <x:c r="P160" s="83"/>
      <x:c r="Q160" s="83"/>
      <x:c r="R160" s="83"/>
      <x:c r="S160" s="83"/>
      <x:c r="T160" s="83"/>
      <x:c r="U160" s="83"/>
      <x:c r="V160" s="83"/>
      <x:c r="W160" s="83"/>
      <x:c r="X160" s="83"/>
      <x:c r="Y160" s="83"/>
      <x:c r="Z160" s="83"/>
    </x:row>
    <x:row r="16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83"/>
      <x:c r="R161" s="83"/>
      <x:c r="S161" s="83"/>
      <x:c r="T161" s="83"/>
      <x:c r="U161" s="83"/>
      <x:c r="V161" s="83"/>
      <x:c r="W161" s="83"/>
      <x:c r="X161" s="83"/>
      <x:c r="Y161" s="83"/>
      <x:c r="Z161" s="83"/>
    </x:row>
    <x:row r="162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83"/>
      <x:c r="R162" s="83"/>
      <x:c r="S162" s="83"/>
      <x:c r="T162" s="83"/>
      <x:c r="U162" s="83"/>
      <x:c r="V162" s="83"/>
      <x:c r="W162" s="83"/>
      <x:c r="X162" s="83"/>
      <x:c r="Y162" s="83"/>
      <x:c r="Z162" s="83"/>
    </x:row>
    <x:row r="163">
      <x:c r="A163" s="83"/>
      <x:c r="B163" s="83"/>
      <x:c r="C163" s="83"/>
      <x:c r="D163" s="83"/>
      <x:c r="E163" s="83"/>
      <x:c r="F163" s="83"/>
      <x:c r="G163" s="83"/>
      <x:c r="H163" s="83"/>
      <x:c r="I163" s="83"/>
      <x:c r="J163" s="83"/>
      <x:c r="K163" s="83"/>
      <x:c r="L163" s="83"/>
      <x:c r="M163" s="83"/>
      <x:c r="N163" s="83"/>
      <x:c r="O163" s="83"/>
      <x:c r="P163" s="83"/>
      <x:c r="Q163" s="83"/>
      <x:c r="R163" s="83"/>
      <x:c r="S163" s="83"/>
      <x:c r="T163" s="83"/>
      <x:c r="U163" s="83"/>
      <x:c r="V163" s="83"/>
      <x:c r="W163" s="83"/>
      <x:c r="X163" s="83"/>
      <x:c r="Y163" s="83"/>
      <x:c r="Z163" s="83"/>
    </x:row>
    <x:row r="164">
      <x:c r="A164" s="83"/>
      <x:c r="B164" s="83"/>
      <x:c r="C164" s="83"/>
      <x:c r="D164" s="83"/>
      <x:c r="E164" s="83"/>
      <x:c r="F164" s="83"/>
      <x:c r="G164" s="83"/>
      <x:c r="H164" s="83"/>
      <x:c r="I164" s="83"/>
      <x:c r="J164" s="83"/>
      <x:c r="K164" s="83"/>
      <x:c r="L164" s="83"/>
      <x:c r="M164" s="83"/>
      <x:c r="N164" s="83"/>
      <x:c r="O164" s="83"/>
      <x:c r="P164" s="83"/>
      <x:c r="Q164" s="83"/>
      <x:c r="R164" s="83"/>
      <x:c r="S164" s="83"/>
      <x:c r="T164" s="83"/>
      <x:c r="U164" s="83"/>
      <x:c r="V164" s="83"/>
      <x:c r="W164" s="83"/>
      <x:c r="X164" s="83"/>
      <x:c r="Y164" s="83"/>
      <x:c r="Z164" s="83"/>
    </x:row>
    <x:row r="165">
      <x:c r="A165" s="83"/>
      <x:c r="B165" s="83"/>
      <x:c r="C165" s="83"/>
      <x:c r="D165" s="83"/>
      <x:c r="E165" s="83"/>
      <x:c r="F165" s="83"/>
      <x:c r="G165" s="83"/>
      <x:c r="H165" s="83"/>
      <x:c r="I165" s="83"/>
      <x:c r="J165" s="83"/>
      <x:c r="K165" s="83"/>
      <x:c r="L165" s="83"/>
      <x:c r="M165" s="83"/>
      <x:c r="N165" s="83"/>
      <x:c r="O165" s="83"/>
      <x:c r="P165" s="83"/>
      <x:c r="Q165" s="83"/>
      <x:c r="R165" s="83"/>
      <x:c r="S165" s="83"/>
      <x:c r="T165" s="83"/>
      <x:c r="U165" s="83"/>
      <x:c r="V165" s="83"/>
      <x:c r="W165" s="83"/>
      <x:c r="X165" s="83"/>
      <x:c r="Y165" s="83"/>
      <x:c r="Z165" s="83"/>
    </x:row>
    <x:row r="166">
      <x:c r="A166" s="83"/>
      <x:c r="B166" s="83"/>
      <x:c r="C166" s="83"/>
      <x:c r="D166" s="83"/>
      <x:c r="E166" s="83"/>
      <x:c r="F166" s="83"/>
      <x:c r="G166" s="83"/>
      <x:c r="H166" s="83"/>
      <x:c r="I166" s="83"/>
      <x:c r="J166" s="83"/>
      <x:c r="K166" s="83"/>
      <x:c r="L166" s="83"/>
      <x:c r="M166" s="83"/>
      <x:c r="N166" s="83"/>
      <x:c r="O166" s="83"/>
      <x:c r="P166" s="83"/>
      <x:c r="Q166" s="83"/>
      <x:c r="R166" s="83"/>
      <x:c r="S166" s="83"/>
      <x:c r="T166" s="83"/>
      <x:c r="U166" s="83"/>
      <x:c r="V166" s="83"/>
      <x:c r="W166" s="83"/>
      <x:c r="X166" s="83"/>
      <x:c r="Y166" s="83"/>
      <x:c r="Z166" s="83"/>
    </x:row>
    <x:row r="167">
      <x:c r="A167" s="83"/>
      <x:c r="B167" s="83"/>
      <x:c r="C167" s="83"/>
      <x:c r="D167" s="83"/>
      <x:c r="E167" s="83"/>
      <x:c r="F167" s="83"/>
      <x:c r="G167" s="83"/>
      <x:c r="H167" s="83"/>
      <x:c r="I167" s="83"/>
      <x:c r="J167" s="83"/>
      <x:c r="K167" s="83"/>
      <x:c r="L167" s="83"/>
      <x:c r="M167" s="83"/>
      <x:c r="N167" s="83"/>
      <x:c r="O167" s="83"/>
      <x:c r="P167" s="83"/>
      <x:c r="Q167" s="83"/>
      <x:c r="R167" s="83"/>
      <x:c r="S167" s="83"/>
      <x:c r="T167" s="83"/>
      <x:c r="U167" s="83"/>
      <x:c r="V167" s="83"/>
      <x:c r="W167" s="83"/>
      <x:c r="X167" s="83"/>
      <x:c r="Y167" s="83"/>
      <x:c r="Z167" s="83"/>
    </x:row>
    <x:row r="168">
      <x:c r="A168" s="83"/>
      <x:c r="B168" s="83"/>
      <x:c r="C168" s="83"/>
      <x:c r="D168" s="83"/>
      <x:c r="E168" s="83"/>
      <x:c r="F168" s="83"/>
      <x:c r="G168" s="83"/>
      <x:c r="H168" s="83"/>
      <x:c r="I168" s="83"/>
      <x:c r="J168" s="83"/>
      <x:c r="K168" s="83"/>
      <x:c r="L168" s="83"/>
      <x:c r="M168" s="83"/>
      <x:c r="N168" s="83"/>
      <x:c r="O168" s="83"/>
      <x:c r="P168" s="83"/>
      <x:c r="Q168" s="83"/>
      <x:c r="R168" s="83"/>
      <x:c r="S168" s="83"/>
      <x:c r="T168" s="83"/>
      <x:c r="U168" s="83"/>
      <x:c r="V168" s="83"/>
      <x:c r="W168" s="83"/>
      <x:c r="X168" s="83"/>
      <x:c r="Y168" s="83"/>
      <x:c r="Z168" s="83"/>
    </x:row>
    <x:row r="169">
      <x:c r="A169" s="83"/>
      <x:c r="B169" s="83"/>
      <x:c r="C169" s="83"/>
      <x:c r="D169" s="83"/>
      <x:c r="E169" s="83"/>
      <x:c r="F169" s="83"/>
      <x:c r="G169" s="83"/>
      <x:c r="H169" s="83"/>
      <x:c r="I169" s="83"/>
      <x:c r="J169" s="83"/>
      <x:c r="K169" s="83"/>
      <x:c r="L169" s="83"/>
      <x:c r="M169" s="83"/>
      <x:c r="N169" s="83"/>
      <x:c r="O169" s="83"/>
      <x:c r="P169" s="83"/>
      <x:c r="Q169" s="83"/>
      <x:c r="R169" s="83"/>
      <x:c r="S169" s="83"/>
      <x:c r="T169" s="83"/>
      <x:c r="U169" s="83"/>
      <x:c r="V169" s="83"/>
      <x:c r="W169" s="83"/>
      <x:c r="X169" s="83"/>
      <x:c r="Y169" s="83"/>
      <x:c r="Z169" s="83"/>
    </x:row>
    <x:row r="170">
      <x:c r="A170" s="83"/>
      <x:c r="B170" s="83"/>
      <x:c r="C170" s="83"/>
      <x:c r="D170" s="83"/>
      <x:c r="E170" s="83"/>
      <x:c r="F170" s="83"/>
      <x:c r="G170" s="83"/>
      <x:c r="H170" s="83"/>
      <x:c r="I170" s="83"/>
      <x:c r="J170" s="83"/>
      <x:c r="K170" s="83"/>
      <x:c r="L170" s="83"/>
      <x:c r="M170" s="83"/>
      <x:c r="N170" s="83"/>
      <x:c r="O170" s="83"/>
      <x:c r="P170" s="83"/>
      <x:c r="Q170" s="83"/>
      <x:c r="R170" s="83"/>
      <x:c r="S170" s="83"/>
      <x:c r="T170" s="83"/>
      <x:c r="U170" s="83"/>
      <x:c r="V170" s="83"/>
      <x:c r="W170" s="83"/>
      <x:c r="X170" s="83"/>
      <x:c r="Y170" s="83"/>
      <x:c r="Z170" s="83"/>
    </x:row>
    <x:row r="17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83"/>
      <x:c r="R171" s="83"/>
      <x:c r="S171" s="83"/>
      <x:c r="T171" s="83"/>
      <x:c r="U171" s="83"/>
      <x:c r="V171" s="83"/>
      <x:c r="W171" s="83"/>
      <x:c r="X171" s="83"/>
      <x:c r="Y171" s="83"/>
      <x:c r="Z171" s="83"/>
    </x:row>
    <x:row r="172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83"/>
      <x:c r="R172" s="83"/>
      <x:c r="S172" s="83"/>
      <x:c r="T172" s="83"/>
      <x:c r="U172" s="83"/>
      <x:c r="V172" s="83"/>
      <x:c r="W172" s="83"/>
      <x:c r="X172" s="83"/>
      <x:c r="Y172" s="83"/>
      <x:c r="Z172" s="83"/>
    </x:row>
    <x:row r="173">
      <x:c r="A173" s="83"/>
      <x:c r="B173" s="83"/>
      <x:c r="C173" s="83"/>
      <x:c r="D173" s="83"/>
      <x:c r="E173" s="83"/>
      <x:c r="F173" s="83"/>
      <x:c r="G173" s="83"/>
      <x:c r="H173" s="83"/>
      <x:c r="I173" s="83"/>
      <x:c r="J173" s="83"/>
      <x:c r="K173" s="83"/>
      <x:c r="L173" s="83"/>
      <x:c r="M173" s="83"/>
      <x:c r="N173" s="83"/>
      <x:c r="O173" s="83"/>
      <x:c r="P173" s="83"/>
      <x:c r="Q173" s="83"/>
      <x:c r="R173" s="83"/>
      <x:c r="S173" s="83"/>
      <x:c r="T173" s="83"/>
      <x:c r="U173" s="83"/>
      <x:c r="V173" s="83"/>
      <x:c r="W173" s="83"/>
      <x:c r="X173" s="83"/>
      <x:c r="Y173" s="83"/>
      <x:c r="Z173" s="83"/>
    </x:row>
    <x:row r="174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83"/>
      <x:c r="R174" s="83"/>
      <x:c r="S174" s="83"/>
      <x:c r="T174" s="83"/>
      <x:c r="U174" s="83"/>
      <x:c r="V174" s="83"/>
      <x:c r="W174" s="83"/>
      <x:c r="X174" s="83"/>
      <x:c r="Y174" s="83"/>
      <x:c r="Z174" s="83"/>
    </x:row>
    <x:row r="175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83"/>
      <x:c r="R175" s="83"/>
      <x:c r="S175" s="83"/>
      <x:c r="T175" s="83"/>
      <x:c r="U175" s="83"/>
      <x:c r="V175" s="83"/>
      <x:c r="W175" s="83"/>
      <x:c r="X175" s="83"/>
      <x:c r="Y175" s="83"/>
      <x:c r="Z175" s="83"/>
    </x:row>
    <x:row r="176">
      <x:c r="A176" s="83"/>
      <x:c r="B176" s="83"/>
      <x:c r="C176" s="83"/>
      <x:c r="D176" s="83"/>
      <x:c r="E176" s="83"/>
      <x:c r="F176" s="83"/>
      <x:c r="G176" s="83"/>
      <x:c r="H176" s="83"/>
      <x:c r="I176" s="83"/>
      <x:c r="J176" s="83"/>
      <x:c r="K176" s="83"/>
      <x:c r="L176" s="83"/>
      <x:c r="M176" s="83"/>
      <x:c r="N176" s="83"/>
      <x:c r="O176" s="83"/>
      <x:c r="P176" s="83"/>
      <x:c r="Q176" s="83"/>
      <x:c r="R176" s="83"/>
      <x:c r="S176" s="83"/>
      <x:c r="T176" s="83"/>
      <x:c r="U176" s="83"/>
      <x:c r="V176" s="83"/>
      <x:c r="W176" s="83"/>
      <x:c r="X176" s="83"/>
      <x:c r="Y176" s="83"/>
      <x:c r="Z176" s="83"/>
    </x:row>
    <x:row r="177">
      <x:c r="A177" s="83"/>
      <x:c r="B177" s="83"/>
      <x:c r="C177" s="83"/>
      <x:c r="D177" s="83"/>
      <x:c r="E177" s="83"/>
      <x:c r="F177" s="83"/>
      <x:c r="G177" s="83"/>
      <x:c r="H177" s="83"/>
      <x:c r="I177" s="83"/>
      <x:c r="J177" s="83"/>
      <x:c r="K177" s="83"/>
      <x:c r="L177" s="83"/>
      <x:c r="M177" s="83"/>
      <x:c r="N177" s="83"/>
      <x:c r="O177" s="83"/>
      <x:c r="P177" s="83"/>
      <x:c r="Q177" s="83"/>
      <x:c r="R177" s="83"/>
      <x:c r="S177" s="83"/>
      <x:c r="T177" s="83"/>
      <x:c r="U177" s="83"/>
      <x:c r="V177" s="83"/>
      <x:c r="W177" s="83"/>
      <x:c r="X177" s="83"/>
      <x:c r="Y177" s="83"/>
      <x:c r="Z177" s="83"/>
    </x:row>
    <x:row r="178">
      <x:c r="A178" s="83"/>
      <x:c r="B178" s="83"/>
      <x:c r="C178" s="83"/>
      <x:c r="D178" s="83"/>
      <x:c r="E178" s="83"/>
      <x:c r="F178" s="83"/>
      <x:c r="G178" s="83"/>
      <x:c r="H178" s="83"/>
      <x:c r="I178" s="83"/>
      <x:c r="J178" s="83"/>
      <x:c r="K178" s="83"/>
      <x:c r="L178" s="83"/>
      <x:c r="M178" s="83"/>
      <x:c r="N178" s="83"/>
      <x:c r="O178" s="83"/>
      <x:c r="P178" s="83"/>
      <x:c r="Q178" s="83"/>
      <x:c r="R178" s="83"/>
      <x:c r="S178" s="83"/>
      <x:c r="T178" s="83"/>
      <x:c r="U178" s="83"/>
      <x:c r="V178" s="83"/>
      <x:c r="W178" s="83"/>
      <x:c r="X178" s="83"/>
      <x:c r="Y178" s="83"/>
      <x:c r="Z178" s="83"/>
    </x:row>
    <x:row r="179">
      <x:c r="A179" s="83"/>
      <x:c r="B179" s="83"/>
      <x:c r="C179" s="83"/>
      <x:c r="D179" s="83"/>
      <x:c r="E179" s="83"/>
      <x:c r="F179" s="83"/>
      <x:c r="G179" s="83"/>
      <x:c r="H179" s="83"/>
      <x:c r="I179" s="83"/>
      <x:c r="J179" s="83"/>
      <x:c r="K179" s="83"/>
      <x:c r="L179" s="83"/>
      <x:c r="M179" s="83"/>
      <x:c r="N179" s="83"/>
      <x:c r="O179" s="83"/>
      <x:c r="P179" s="83"/>
      <x:c r="Q179" s="83"/>
      <x:c r="R179" s="83"/>
      <x:c r="S179" s="83"/>
      <x:c r="T179" s="83"/>
      <x:c r="U179" s="83"/>
      <x:c r="V179" s="83"/>
      <x:c r="W179" s="83"/>
      <x:c r="X179" s="83"/>
      <x:c r="Y179" s="83"/>
      <x:c r="Z179" s="83"/>
    </x:row>
    <x:row r="180">
      <x:c r="A180" s="83"/>
      <x:c r="B180" s="83"/>
      <x:c r="C180" s="83"/>
      <x:c r="D180" s="83"/>
      <x:c r="E180" s="83"/>
      <x:c r="F180" s="83"/>
      <x:c r="G180" s="83"/>
      <x:c r="H180" s="83"/>
      <x:c r="I180" s="83"/>
      <x:c r="J180" s="83"/>
      <x:c r="K180" s="83"/>
      <x:c r="L180" s="83"/>
      <x:c r="M180" s="83"/>
      <x:c r="N180" s="83"/>
      <x:c r="O180" s="83"/>
      <x:c r="P180" s="83"/>
      <x:c r="Q180" s="83"/>
      <x:c r="R180" s="83"/>
      <x:c r="S180" s="83"/>
      <x:c r="T180" s="83"/>
      <x:c r="U180" s="83"/>
      <x:c r="V180" s="83"/>
      <x:c r="W180" s="83"/>
      <x:c r="X180" s="83"/>
      <x:c r="Y180" s="83"/>
      <x:c r="Z180" s="83"/>
    </x:row>
    <x:row r="181">
      <x:c r="A181" s="83"/>
      <x:c r="B181" s="83"/>
      <x:c r="C181" s="83"/>
      <x:c r="D181" s="83"/>
      <x:c r="E181" s="83"/>
      <x:c r="F181" s="83"/>
      <x:c r="G181" s="83"/>
      <x:c r="H181" s="83"/>
      <x:c r="I181" s="83"/>
      <x:c r="J181" s="83"/>
      <x:c r="K181" s="83"/>
      <x:c r="L181" s="83"/>
      <x:c r="M181" s="83"/>
      <x:c r="N181" s="83"/>
      <x:c r="O181" s="83"/>
      <x:c r="P181" s="83"/>
      <x:c r="Q181" s="83"/>
      <x:c r="R181" s="83"/>
      <x:c r="S181" s="83"/>
      <x:c r="T181" s="83"/>
      <x:c r="U181" s="83"/>
      <x:c r="V181" s="83"/>
      <x:c r="W181" s="83"/>
      <x:c r="X181" s="83"/>
      <x:c r="Y181" s="83"/>
      <x:c r="Z181" s="83"/>
    </x:row>
    <x:row r="182">
      <x:c r="A182" s="83"/>
      <x:c r="B182" s="83"/>
      <x:c r="C182" s="83"/>
      <x:c r="D182" s="83"/>
      <x:c r="E182" s="83"/>
      <x:c r="F182" s="83"/>
      <x:c r="G182" s="83"/>
      <x:c r="H182" s="83"/>
      <x:c r="I182" s="83"/>
      <x:c r="J182" s="83"/>
      <x:c r="K182" s="83"/>
      <x:c r="L182" s="83"/>
      <x:c r="M182" s="83"/>
      <x:c r="N182" s="83"/>
      <x:c r="O182" s="83"/>
      <x:c r="P182" s="83"/>
      <x:c r="Q182" s="83"/>
      <x:c r="R182" s="83"/>
      <x:c r="S182" s="83"/>
      <x:c r="T182" s="83"/>
      <x:c r="U182" s="83"/>
      <x:c r="V182" s="83"/>
      <x:c r="W182" s="83"/>
      <x:c r="X182" s="83"/>
      <x:c r="Y182" s="83"/>
      <x:c r="Z182" s="83"/>
    </x:row>
    <x:row r="183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83"/>
      <x:c r="R183" s="83"/>
      <x:c r="S183" s="83"/>
      <x:c r="T183" s="83"/>
      <x:c r="U183" s="83"/>
      <x:c r="V183" s="83"/>
      <x:c r="W183" s="83"/>
      <x:c r="X183" s="83"/>
      <x:c r="Y183" s="83"/>
      <x:c r="Z183" s="83"/>
    </x:row>
    <x:row r="184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83"/>
      <x:c r="R184" s="83"/>
      <x:c r="S184" s="83"/>
      <x:c r="T184" s="83"/>
      <x:c r="U184" s="83"/>
      <x:c r="V184" s="83"/>
      <x:c r="W184" s="83"/>
      <x:c r="X184" s="83"/>
      <x:c r="Y184" s="83"/>
      <x:c r="Z184" s="83"/>
    </x:row>
    <x:row r="185">
      <x:c r="A185" s="83"/>
      <x:c r="B185" s="83"/>
      <x:c r="C185" s="83"/>
      <x:c r="D185" s="83"/>
      <x:c r="E185" s="83"/>
      <x:c r="F185" s="83"/>
      <x:c r="G185" s="83"/>
      <x:c r="H185" s="83"/>
      <x:c r="I185" s="83"/>
      <x:c r="J185" s="83"/>
      <x:c r="K185" s="83"/>
      <x:c r="L185" s="83"/>
      <x:c r="M185" s="83"/>
      <x:c r="N185" s="83"/>
      <x:c r="O185" s="83"/>
      <x:c r="P185" s="83"/>
      <x:c r="Q185" s="83"/>
      <x:c r="R185" s="83"/>
      <x:c r="S185" s="83"/>
      <x:c r="T185" s="83"/>
      <x:c r="U185" s="83"/>
      <x:c r="V185" s="83"/>
      <x:c r="W185" s="83"/>
      <x:c r="X185" s="83"/>
      <x:c r="Y185" s="83"/>
      <x:c r="Z185" s="83"/>
    </x:row>
    <x:row r="186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83"/>
      <x:c r="R186" s="83"/>
      <x:c r="S186" s="83"/>
      <x:c r="T186" s="83"/>
      <x:c r="U186" s="83"/>
      <x:c r="V186" s="83"/>
      <x:c r="W186" s="83"/>
      <x:c r="X186" s="83"/>
      <x:c r="Y186" s="83"/>
      <x:c r="Z186" s="83"/>
    </x:row>
    <x:row r="187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83"/>
      <x:c r="R187" s="83"/>
      <x:c r="S187" s="83"/>
      <x:c r="T187" s="83"/>
      <x:c r="U187" s="83"/>
      <x:c r="V187" s="83"/>
      <x:c r="W187" s="83"/>
      <x:c r="X187" s="83"/>
      <x:c r="Y187" s="83"/>
      <x:c r="Z187" s="83"/>
    </x:row>
    <x:row r="188">
      <x:c r="A188" s="83"/>
      <x:c r="B188" s="83"/>
      <x:c r="C188" s="83"/>
      <x:c r="D188" s="83"/>
      <x:c r="E188" s="83"/>
      <x:c r="F188" s="83"/>
      <x:c r="G188" s="83"/>
      <x:c r="H188" s="83"/>
      <x:c r="I188" s="83"/>
      <x:c r="J188" s="83"/>
      <x:c r="K188" s="83"/>
      <x:c r="L188" s="83"/>
      <x:c r="M188" s="83"/>
      <x:c r="N188" s="83"/>
      <x:c r="O188" s="83"/>
      <x:c r="P188" s="83"/>
      <x:c r="Q188" s="83"/>
      <x:c r="R188" s="83"/>
      <x:c r="S188" s="83"/>
      <x:c r="T188" s="83"/>
      <x:c r="U188" s="83"/>
      <x:c r="V188" s="83"/>
      <x:c r="W188" s="83"/>
      <x:c r="X188" s="83"/>
      <x:c r="Y188" s="83"/>
      <x:c r="Z188" s="83"/>
    </x:row>
    <x:row r="189">
      <x:c r="A189" s="83"/>
      <x:c r="B189" s="83"/>
      <x:c r="C189" s="83"/>
      <x:c r="D189" s="83"/>
      <x:c r="E189" s="83"/>
      <x:c r="F189" s="83"/>
      <x:c r="G189" s="83"/>
      <x:c r="H189" s="83"/>
      <x:c r="I189" s="83"/>
      <x:c r="J189" s="83"/>
      <x:c r="K189" s="83"/>
      <x:c r="L189" s="83"/>
      <x:c r="M189" s="83"/>
      <x:c r="N189" s="83"/>
      <x:c r="O189" s="83"/>
      <x:c r="P189" s="83"/>
      <x:c r="Q189" s="83"/>
      <x:c r="R189" s="83"/>
      <x:c r="S189" s="83"/>
      <x:c r="T189" s="83"/>
      <x:c r="U189" s="83"/>
      <x:c r="V189" s="83"/>
      <x:c r="W189" s="83"/>
      <x:c r="X189" s="83"/>
      <x:c r="Y189" s="83"/>
      <x:c r="Z189" s="83"/>
    </x:row>
    <x:row r="190">
      <x:c r="A190" s="83"/>
      <x:c r="B190" s="83"/>
      <x:c r="C190" s="83"/>
      <x:c r="D190" s="83"/>
      <x:c r="E190" s="83"/>
      <x:c r="F190" s="83"/>
      <x:c r="G190" s="83"/>
      <x:c r="H190" s="83"/>
      <x:c r="I190" s="83"/>
      <x:c r="J190" s="83"/>
      <x:c r="K190" s="83"/>
      <x:c r="L190" s="83"/>
      <x:c r="M190" s="83"/>
      <x:c r="N190" s="83"/>
      <x:c r="O190" s="83"/>
      <x:c r="P190" s="83"/>
      <x:c r="Q190" s="83"/>
      <x:c r="R190" s="83"/>
      <x:c r="S190" s="83"/>
      <x:c r="T190" s="83"/>
      <x:c r="U190" s="83"/>
      <x:c r="V190" s="83"/>
      <x:c r="W190" s="83"/>
      <x:c r="X190" s="83"/>
      <x:c r="Y190" s="83"/>
      <x:c r="Z190" s="83"/>
    </x:row>
    <x:row r="191">
      <x:c r="A191" s="83"/>
      <x:c r="B191" s="83"/>
      <x:c r="C191" s="83"/>
      <x:c r="D191" s="83"/>
      <x:c r="E191" s="83"/>
      <x:c r="F191" s="83"/>
      <x:c r="G191" s="83"/>
      <x:c r="H191" s="83"/>
      <x:c r="I191" s="83"/>
      <x:c r="J191" s="83"/>
      <x:c r="K191" s="83"/>
      <x:c r="L191" s="83"/>
      <x:c r="M191" s="83"/>
      <x:c r="N191" s="83"/>
      <x:c r="O191" s="83"/>
      <x:c r="P191" s="83"/>
      <x:c r="Q191" s="83"/>
      <x:c r="R191" s="83"/>
      <x:c r="S191" s="83"/>
      <x:c r="T191" s="83"/>
      <x:c r="U191" s="83"/>
      <x:c r="V191" s="83"/>
      <x:c r="W191" s="83"/>
      <x:c r="X191" s="83"/>
      <x:c r="Y191" s="83"/>
      <x:c r="Z191" s="83"/>
    </x:row>
    <x:row r="192">
      <x:c r="A192" s="83"/>
      <x:c r="B192" s="83"/>
      <x:c r="C192" s="83"/>
      <x:c r="D192" s="83"/>
      <x:c r="E192" s="83"/>
      <x:c r="F192" s="83"/>
      <x:c r="G192" s="83"/>
      <x:c r="H192" s="83"/>
      <x:c r="I192" s="83"/>
      <x:c r="J192" s="83"/>
      <x:c r="K192" s="83"/>
      <x:c r="L192" s="83"/>
      <x:c r="M192" s="83"/>
      <x:c r="N192" s="83"/>
      <x:c r="O192" s="83"/>
      <x:c r="P192" s="83"/>
      <x:c r="Q192" s="83"/>
      <x:c r="R192" s="83"/>
      <x:c r="S192" s="83"/>
      <x:c r="T192" s="83"/>
      <x:c r="U192" s="83"/>
      <x:c r="V192" s="83"/>
      <x:c r="W192" s="83"/>
      <x:c r="X192" s="83"/>
      <x:c r="Y192" s="83"/>
      <x:c r="Z192" s="83"/>
    </x:row>
    <x:row r="193">
      <x:c r="A193" s="83"/>
      <x:c r="B193" s="83"/>
      <x:c r="C193" s="83"/>
      <x:c r="D193" s="83"/>
      <x:c r="E193" s="83"/>
      <x:c r="F193" s="83"/>
      <x:c r="G193" s="83"/>
      <x:c r="H193" s="83"/>
      <x:c r="I193" s="83"/>
      <x:c r="J193" s="83"/>
      <x:c r="K193" s="83"/>
      <x:c r="L193" s="83"/>
      <x:c r="M193" s="83"/>
      <x:c r="N193" s="83"/>
      <x:c r="O193" s="83"/>
      <x:c r="P193" s="83"/>
      <x:c r="Q193" s="83"/>
      <x:c r="R193" s="83"/>
      <x:c r="S193" s="83"/>
      <x:c r="T193" s="83"/>
      <x:c r="U193" s="83"/>
      <x:c r="V193" s="83"/>
      <x:c r="W193" s="83"/>
      <x:c r="X193" s="83"/>
      <x:c r="Y193" s="83"/>
      <x:c r="Z193" s="83"/>
    </x:row>
    <x:row r="194">
      <x:c r="A194" s="83"/>
      <x:c r="B194" s="83"/>
      <x:c r="C194" s="83"/>
      <x:c r="D194" s="83"/>
      <x:c r="E194" s="83"/>
      <x:c r="F194" s="83"/>
      <x:c r="G194" s="83"/>
      <x:c r="H194" s="83"/>
      <x:c r="I194" s="83"/>
      <x:c r="J194" s="83"/>
      <x:c r="K194" s="83"/>
      <x:c r="L194" s="83"/>
      <x:c r="M194" s="83"/>
      <x:c r="N194" s="83"/>
      <x:c r="O194" s="83"/>
      <x:c r="P194" s="83"/>
      <x:c r="Q194" s="83"/>
      <x:c r="R194" s="83"/>
      <x:c r="S194" s="83"/>
      <x:c r="T194" s="83"/>
      <x:c r="U194" s="83"/>
      <x:c r="V194" s="83"/>
      <x:c r="W194" s="83"/>
      <x:c r="X194" s="83"/>
      <x:c r="Y194" s="83"/>
      <x:c r="Z194" s="83"/>
    </x:row>
    <x:row r="195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83"/>
      <x:c r="R195" s="83"/>
      <x:c r="S195" s="83"/>
      <x:c r="T195" s="83"/>
      <x:c r="U195" s="83"/>
      <x:c r="V195" s="83"/>
      <x:c r="W195" s="83"/>
      <x:c r="X195" s="83"/>
      <x:c r="Y195" s="83"/>
      <x:c r="Z195" s="83"/>
    </x:row>
    <x:row r="196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83"/>
      <x:c r="R196" s="83"/>
      <x:c r="S196" s="83"/>
      <x:c r="T196" s="83"/>
      <x:c r="U196" s="83"/>
      <x:c r="V196" s="83"/>
      <x:c r="W196" s="83"/>
      <x:c r="X196" s="83"/>
      <x:c r="Y196" s="83"/>
      <x:c r="Z196" s="83"/>
    </x:row>
    <x:row r="197">
      <x:c r="A197" s="83"/>
      <x:c r="B197" s="83"/>
      <x:c r="C197" s="83"/>
      <x:c r="D197" s="83"/>
      <x:c r="E197" s="83"/>
      <x:c r="F197" s="83"/>
      <x:c r="G197" s="83"/>
      <x:c r="H197" s="83"/>
      <x:c r="I197" s="83"/>
      <x:c r="J197" s="83"/>
      <x:c r="K197" s="83"/>
      <x:c r="L197" s="83"/>
      <x:c r="M197" s="83"/>
      <x:c r="N197" s="83"/>
      <x:c r="O197" s="83"/>
      <x:c r="P197" s="83"/>
      <x:c r="Q197" s="83"/>
      <x:c r="R197" s="83"/>
      <x:c r="S197" s="83"/>
      <x:c r="T197" s="83"/>
      <x:c r="U197" s="83"/>
      <x:c r="V197" s="83"/>
      <x:c r="W197" s="83"/>
      <x:c r="X197" s="83"/>
      <x:c r="Y197" s="83"/>
      <x:c r="Z197" s="83"/>
    </x:row>
    <x:row r="198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83"/>
      <x:c r="R198" s="83"/>
      <x:c r="S198" s="83"/>
      <x:c r="T198" s="83"/>
      <x:c r="U198" s="83"/>
      <x:c r="V198" s="83"/>
      <x:c r="W198" s="83"/>
      <x:c r="X198" s="83"/>
      <x:c r="Y198" s="83"/>
      <x:c r="Z198" s="83"/>
    </x:row>
    <x:row r="199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83"/>
      <x:c r="R199" s="83"/>
      <x:c r="S199" s="83"/>
      <x:c r="T199" s="83"/>
      <x:c r="U199" s="83"/>
      <x:c r="V199" s="83"/>
      <x:c r="W199" s="83"/>
      <x:c r="X199" s="83"/>
      <x:c r="Y199" s="83"/>
      <x:c r="Z199" s="83"/>
    </x:row>
    <x:row r="200">
      <x:c r="A200" s="83"/>
      <x:c r="B200" s="83"/>
      <x:c r="C200" s="83"/>
      <x:c r="D200" s="83"/>
      <x:c r="E200" s="83"/>
      <x:c r="F200" s="83"/>
      <x:c r="G200" s="83"/>
      <x:c r="H200" s="83"/>
      <x:c r="I200" s="83"/>
      <x:c r="J200" s="83"/>
      <x:c r="K200" s="83"/>
      <x:c r="L200" s="83"/>
      <x:c r="M200" s="83"/>
      <x:c r="N200" s="83"/>
      <x:c r="O200" s="83"/>
      <x:c r="P200" s="83"/>
      <x:c r="Q200" s="83"/>
      <x:c r="R200" s="83"/>
      <x:c r="S200" s="83"/>
      <x:c r="T200" s="83"/>
      <x:c r="U200" s="83"/>
      <x:c r="V200" s="83"/>
      <x:c r="W200" s="83"/>
      <x:c r="X200" s="83"/>
      <x:c r="Y200" s="83"/>
      <x:c r="Z200" s="83"/>
    </x:row>
  </x:sheetData>
  <x:pageMargins left="0.7" right="0.7" top="0.75" bottom="0.75" header="0.3" footer="0.3"/>
</x:worksheet>
</file>